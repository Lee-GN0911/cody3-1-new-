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년 면역진단\06. 매개체\열린데이터광장\202406신청민원\"/>
    </mc:Choice>
  </mc:AlternateContent>
  <bookViews>
    <workbookView xWindow="0" yWindow="0" windowWidth="19860" windowHeight="11355"/>
  </bookViews>
  <sheets>
    <sheet name="2023" sheetId="41" r:id="rId1"/>
    <sheet name="2022" sheetId="27" r:id="rId2"/>
    <sheet name="2021" sheetId="26" r:id="rId3"/>
    <sheet name="2020" sheetId="28" r:id="rId4"/>
    <sheet name="2019" sheetId="29" r:id="rId5"/>
    <sheet name="2018" sheetId="30" r:id="rId6"/>
    <sheet name="2017" sheetId="31" r:id="rId7"/>
    <sheet name="2016" sheetId="32" r:id="rId8"/>
    <sheet name="2015" sheetId="33" r:id="rId9"/>
    <sheet name="2014" sheetId="34" r:id="rId10"/>
    <sheet name="2013" sheetId="35" r:id="rId11"/>
    <sheet name="2012" sheetId="36" r:id="rId12"/>
    <sheet name="2011" sheetId="37" r:id="rId13"/>
    <sheet name="2010" sheetId="38" r:id="rId14"/>
    <sheet name="2009" sheetId="39" r:id="rId15"/>
    <sheet name="2008" sheetId="40" r:id="rId16"/>
  </sheets>
  <calcPr calcId="152511"/>
</workbook>
</file>

<file path=xl/calcChain.xml><?xml version="1.0" encoding="utf-8"?>
<calcChain xmlns="http://schemas.openxmlformats.org/spreadsheetml/2006/main">
  <c r="D35" i="41" l="1"/>
  <c r="E35" i="41"/>
  <c r="F35" i="41"/>
  <c r="G35" i="41"/>
  <c r="H35" i="41"/>
  <c r="I35" i="41"/>
  <c r="J35" i="41"/>
  <c r="K35" i="41"/>
  <c r="L35" i="41"/>
  <c r="M35" i="41"/>
  <c r="N35" i="41"/>
  <c r="O35" i="41"/>
  <c r="C35" i="41"/>
  <c r="P35" i="41"/>
  <c r="P34" i="41"/>
  <c r="P33" i="41"/>
  <c r="P32" i="41"/>
  <c r="P31" i="41" l="1"/>
  <c r="P30" i="41"/>
  <c r="P29" i="41"/>
  <c r="P28" i="41"/>
  <c r="P27" i="41"/>
  <c r="P26" i="41"/>
  <c r="P25" i="41"/>
  <c r="P24" i="41"/>
  <c r="P23" i="41"/>
  <c r="P22" i="41"/>
  <c r="P21" i="41"/>
  <c r="P20" i="41"/>
  <c r="P19" i="41"/>
  <c r="P18" i="41"/>
  <c r="P17" i="41"/>
  <c r="P16" i="41"/>
  <c r="P15" i="41"/>
  <c r="P14" i="41"/>
  <c r="P13" i="41"/>
  <c r="P12" i="41"/>
  <c r="P11" i="41"/>
  <c r="P10" i="41"/>
  <c r="P9" i="41"/>
  <c r="P8" i="41"/>
  <c r="P7" i="41"/>
  <c r="P6" i="41"/>
  <c r="P5" i="41"/>
  <c r="C36" i="40" l="1"/>
  <c r="D36" i="40"/>
  <c r="E36" i="40"/>
  <c r="F36" i="40"/>
  <c r="G36" i="40"/>
  <c r="H36" i="40"/>
  <c r="I36" i="40"/>
  <c r="J36" i="40"/>
  <c r="K36" i="40"/>
  <c r="L36" i="40"/>
  <c r="B36" i="40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4" i="40"/>
  <c r="C29" i="39"/>
  <c r="D29" i="39"/>
  <c r="E29" i="39"/>
  <c r="F29" i="39"/>
  <c r="G29" i="39"/>
  <c r="H29" i="39"/>
  <c r="I29" i="39"/>
  <c r="J29" i="39"/>
  <c r="K29" i="39"/>
  <c r="L29" i="39"/>
  <c r="B29" i="39"/>
  <c r="L5" i="39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4" i="39"/>
  <c r="C38" i="38"/>
  <c r="D38" i="38"/>
  <c r="E38" i="38"/>
  <c r="F38" i="38"/>
  <c r="G38" i="38"/>
  <c r="H38" i="38"/>
  <c r="I38" i="38"/>
  <c r="J38" i="38"/>
  <c r="K38" i="38"/>
  <c r="L38" i="38"/>
  <c r="B38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4" i="38"/>
  <c r="C35" i="37"/>
  <c r="D35" i="37"/>
  <c r="E35" i="37"/>
  <c r="F35" i="37"/>
  <c r="G35" i="37"/>
  <c r="H35" i="37"/>
  <c r="I35" i="37"/>
  <c r="J35" i="37"/>
  <c r="K35" i="37"/>
  <c r="L35" i="37"/>
  <c r="M35" i="37"/>
  <c r="N35" i="37"/>
  <c r="O35" i="37"/>
  <c r="P35" i="37"/>
  <c r="B35" i="37"/>
  <c r="P6" i="37"/>
  <c r="P7" i="37"/>
  <c r="P8" i="37"/>
  <c r="P9" i="37"/>
  <c r="P10" i="37"/>
  <c r="P11" i="37"/>
  <c r="P12" i="37"/>
  <c r="P13" i="37"/>
  <c r="P14" i="37"/>
  <c r="P15" i="37"/>
  <c r="P16" i="37"/>
  <c r="P17" i="37"/>
  <c r="P18" i="37"/>
  <c r="P19" i="37"/>
  <c r="P20" i="37"/>
  <c r="P21" i="37"/>
  <c r="P22" i="37"/>
  <c r="P23" i="37"/>
  <c r="P24" i="37"/>
  <c r="P25" i="37"/>
  <c r="P26" i="37"/>
  <c r="P27" i="37"/>
  <c r="P28" i="37"/>
  <c r="P29" i="37"/>
  <c r="P30" i="37"/>
  <c r="P31" i="37"/>
  <c r="P32" i="37"/>
  <c r="P33" i="37"/>
  <c r="P34" i="37"/>
  <c r="P5" i="37"/>
  <c r="C36" i="36"/>
  <c r="D36" i="36"/>
  <c r="E36" i="36"/>
  <c r="F36" i="36"/>
  <c r="G36" i="36"/>
  <c r="H36" i="36"/>
  <c r="I36" i="36"/>
  <c r="J36" i="36"/>
  <c r="K36" i="36"/>
  <c r="L36" i="36"/>
  <c r="M36" i="36"/>
  <c r="N36" i="36"/>
  <c r="O36" i="36"/>
  <c r="P36" i="36"/>
  <c r="B36" i="36"/>
  <c r="P6" i="36"/>
  <c r="P7" i="36"/>
  <c r="P8" i="36"/>
  <c r="P9" i="36"/>
  <c r="P10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27" i="36"/>
  <c r="P28" i="36"/>
  <c r="P29" i="36"/>
  <c r="P30" i="36"/>
  <c r="P31" i="36"/>
  <c r="P32" i="36"/>
  <c r="P33" i="36"/>
  <c r="P34" i="36"/>
  <c r="P35" i="36"/>
  <c r="P5" i="36"/>
  <c r="D36" i="35"/>
  <c r="E36" i="35"/>
  <c r="F36" i="35"/>
  <c r="G36" i="35"/>
  <c r="H36" i="35"/>
  <c r="I36" i="35"/>
  <c r="J36" i="35"/>
  <c r="K36" i="35"/>
  <c r="L36" i="35"/>
  <c r="M36" i="35"/>
  <c r="N36" i="35"/>
  <c r="O36" i="35"/>
  <c r="P36" i="35"/>
  <c r="Q36" i="35"/>
  <c r="C36" i="35"/>
  <c r="Q6" i="35"/>
  <c r="Q7" i="35"/>
  <c r="Q8" i="35"/>
  <c r="Q9" i="35"/>
  <c r="Q10" i="35"/>
  <c r="Q11" i="35"/>
  <c r="Q12" i="35"/>
  <c r="Q13" i="35"/>
  <c r="Q14" i="35"/>
  <c r="Q15" i="35"/>
  <c r="Q16" i="35"/>
  <c r="Q17" i="35"/>
  <c r="Q18" i="35"/>
  <c r="Q19" i="35"/>
  <c r="Q20" i="35"/>
  <c r="Q21" i="35"/>
  <c r="Q22" i="35"/>
  <c r="Q23" i="35"/>
  <c r="Q24" i="35"/>
  <c r="Q25" i="35"/>
  <c r="Q26" i="35"/>
  <c r="Q27" i="35"/>
  <c r="Q28" i="35"/>
  <c r="Q29" i="35"/>
  <c r="Q30" i="35"/>
  <c r="Q31" i="35"/>
  <c r="Q32" i="35"/>
  <c r="Q33" i="35"/>
  <c r="Q34" i="35"/>
  <c r="Q35" i="35"/>
  <c r="Q5" i="35"/>
  <c r="D35" i="34"/>
  <c r="E35" i="34"/>
  <c r="F35" i="34"/>
  <c r="G35" i="34"/>
  <c r="H35" i="34"/>
  <c r="I35" i="34"/>
  <c r="J35" i="34"/>
  <c r="K35" i="34"/>
  <c r="L35" i="34"/>
  <c r="M35" i="34"/>
  <c r="N35" i="34"/>
  <c r="O35" i="34"/>
  <c r="P35" i="34"/>
  <c r="Q35" i="34"/>
  <c r="C35" i="34"/>
  <c r="Q6" i="34"/>
  <c r="Q7" i="34"/>
  <c r="Q8" i="34"/>
  <c r="Q9" i="34"/>
  <c r="Q10" i="34"/>
  <c r="Q11" i="34"/>
  <c r="Q12" i="34"/>
  <c r="Q13" i="34"/>
  <c r="Q14" i="34"/>
  <c r="Q15" i="34"/>
  <c r="Q16" i="34"/>
  <c r="Q17" i="34"/>
  <c r="Q18" i="34"/>
  <c r="Q19" i="34"/>
  <c r="Q20" i="34"/>
  <c r="Q21" i="34"/>
  <c r="Q22" i="34"/>
  <c r="Q23" i="34"/>
  <c r="Q24" i="34"/>
  <c r="Q25" i="34"/>
  <c r="Q26" i="34"/>
  <c r="Q27" i="34"/>
  <c r="Q28" i="34"/>
  <c r="Q29" i="34"/>
  <c r="Q30" i="34"/>
  <c r="Q31" i="34"/>
  <c r="Q32" i="34"/>
  <c r="Q33" i="34"/>
  <c r="Q34" i="34"/>
  <c r="Q5" i="34"/>
  <c r="D36" i="33"/>
  <c r="E36" i="33"/>
  <c r="F36" i="33"/>
  <c r="G36" i="33"/>
  <c r="H36" i="33"/>
  <c r="I36" i="33"/>
  <c r="J36" i="33"/>
  <c r="K36" i="33"/>
  <c r="L36" i="33"/>
  <c r="M36" i="33"/>
  <c r="N36" i="33"/>
  <c r="O36" i="33"/>
  <c r="P36" i="33"/>
  <c r="Q36" i="33"/>
  <c r="C36" i="33"/>
  <c r="Q6" i="33"/>
  <c r="Q7" i="33"/>
  <c r="Q8" i="33"/>
  <c r="Q9" i="33"/>
  <c r="Q10" i="33"/>
  <c r="Q11" i="33"/>
  <c r="Q12" i="33"/>
  <c r="Q13" i="33"/>
  <c r="Q14" i="33"/>
  <c r="Q15" i="33"/>
  <c r="Q16" i="33"/>
  <c r="Q17" i="33"/>
  <c r="Q18" i="33"/>
  <c r="Q19" i="33"/>
  <c r="Q20" i="33"/>
  <c r="Q21" i="33"/>
  <c r="Q22" i="33"/>
  <c r="Q23" i="33"/>
  <c r="Q24" i="33"/>
  <c r="Q25" i="33"/>
  <c r="Q26" i="33"/>
  <c r="Q27" i="33"/>
  <c r="Q28" i="33"/>
  <c r="Q29" i="33"/>
  <c r="Q30" i="33"/>
  <c r="Q31" i="33"/>
  <c r="Q32" i="33"/>
  <c r="Q33" i="33"/>
  <c r="Q34" i="33"/>
  <c r="Q35" i="33"/>
  <c r="Q5" i="33"/>
  <c r="D36" i="32"/>
  <c r="E36" i="32"/>
  <c r="F36" i="32"/>
  <c r="G36" i="32"/>
  <c r="H36" i="32"/>
  <c r="I36" i="32"/>
  <c r="J36" i="32"/>
  <c r="K36" i="32"/>
  <c r="L36" i="32"/>
  <c r="M36" i="32"/>
  <c r="N36" i="32"/>
  <c r="O36" i="32"/>
  <c r="P36" i="32"/>
  <c r="Q36" i="32"/>
  <c r="C36" i="32"/>
  <c r="Q6" i="32"/>
  <c r="Q7" i="32"/>
  <c r="Q8" i="32"/>
  <c r="Q9" i="32"/>
  <c r="Q10" i="32"/>
  <c r="Q11" i="32"/>
  <c r="Q12" i="32"/>
  <c r="Q13" i="32"/>
  <c r="Q14" i="32"/>
  <c r="Q15" i="32"/>
  <c r="Q16" i="32"/>
  <c r="Q17" i="32"/>
  <c r="Q18" i="32"/>
  <c r="Q19" i="32"/>
  <c r="Q20" i="32"/>
  <c r="Q21" i="32"/>
  <c r="Q22" i="32"/>
  <c r="Q23" i="32"/>
  <c r="Q24" i="32"/>
  <c r="Q25" i="32"/>
  <c r="Q26" i="32"/>
  <c r="Q27" i="32"/>
  <c r="Q28" i="32"/>
  <c r="Q29" i="32"/>
  <c r="Q30" i="32"/>
  <c r="Q31" i="32"/>
  <c r="Q32" i="32"/>
  <c r="Q33" i="32"/>
  <c r="Q34" i="32"/>
  <c r="Q35" i="32"/>
  <c r="Q5" i="32"/>
  <c r="D34" i="31"/>
  <c r="E34" i="31"/>
  <c r="F34" i="31"/>
  <c r="G34" i="31"/>
  <c r="H34" i="31"/>
  <c r="I34" i="31"/>
  <c r="J34" i="31"/>
  <c r="K34" i="31"/>
  <c r="L34" i="31"/>
  <c r="M34" i="31"/>
  <c r="N34" i="31"/>
  <c r="O34" i="31"/>
  <c r="P34" i="31"/>
  <c r="Q34" i="31"/>
  <c r="C34" i="3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5" i="31"/>
  <c r="D35" i="30"/>
  <c r="E35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C35" i="30"/>
  <c r="Q6" i="30"/>
  <c r="Q7" i="30"/>
  <c r="Q8" i="30"/>
  <c r="Q9" i="30"/>
  <c r="Q10" i="30"/>
  <c r="Q11" i="30"/>
  <c r="Q12" i="30"/>
  <c r="Q13" i="30"/>
  <c r="Q14" i="30"/>
  <c r="Q15" i="30"/>
  <c r="Q16" i="30"/>
  <c r="Q17" i="30"/>
  <c r="Q18" i="30"/>
  <c r="Q19" i="30"/>
  <c r="Q20" i="30"/>
  <c r="Q21" i="30"/>
  <c r="Q22" i="30"/>
  <c r="Q23" i="30"/>
  <c r="Q24" i="30"/>
  <c r="Q25" i="30"/>
  <c r="Q26" i="30"/>
  <c r="Q27" i="30"/>
  <c r="Q28" i="30"/>
  <c r="Q29" i="30"/>
  <c r="Q30" i="30"/>
  <c r="Q31" i="30"/>
  <c r="Q32" i="30"/>
  <c r="Q33" i="30"/>
  <c r="Q34" i="30"/>
  <c r="Q5" i="30"/>
  <c r="C36" i="29"/>
  <c r="D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B36" i="29"/>
  <c r="R6" i="29"/>
  <c r="R7" i="29"/>
  <c r="R8" i="29"/>
  <c r="R9" i="29"/>
  <c r="R10" i="29"/>
  <c r="R11" i="29"/>
  <c r="R12" i="29"/>
  <c r="R13" i="29"/>
  <c r="R14" i="29"/>
  <c r="R15" i="29"/>
  <c r="R16" i="29"/>
  <c r="R17" i="29"/>
  <c r="R18" i="29"/>
  <c r="R19" i="29"/>
  <c r="R20" i="29"/>
  <c r="R21" i="29"/>
  <c r="R22" i="29"/>
  <c r="R23" i="29"/>
  <c r="R24" i="29"/>
  <c r="R25" i="29"/>
  <c r="R26" i="29"/>
  <c r="R27" i="29"/>
  <c r="R28" i="29"/>
  <c r="R29" i="29"/>
  <c r="R30" i="29"/>
  <c r="R31" i="29"/>
  <c r="R32" i="29"/>
  <c r="R33" i="29"/>
  <c r="R34" i="29"/>
  <c r="R35" i="29"/>
  <c r="R5" i="29"/>
  <c r="C32" i="28"/>
  <c r="D32" i="28"/>
  <c r="E32" i="28"/>
  <c r="F32" i="28"/>
  <c r="G32" i="28"/>
  <c r="H32" i="28"/>
  <c r="I32" i="28"/>
  <c r="J32" i="28"/>
  <c r="K32" i="28"/>
  <c r="L32" i="28"/>
  <c r="M32" i="28"/>
  <c r="N32" i="28"/>
  <c r="O32" i="28"/>
  <c r="P32" i="28"/>
  <c r="Q32" i="28"/>
  <c r="B32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5" i="28"/>
  <c r="R32" i="28" s="1"/>
  <c r="C34" i="26" l="1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B34" i="26"/>
  <c r="S6" i="26"/>
  <c r="S7" i="26"/>
  <c r="S8" i="26"/>
  <c r="S9" i="26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5" i="26"/>
  <c r="S34" i="26" s="1"/>
  <c r="C34" i="27"/>
  <c r="D34" i="27"/>
  <c r="E34" i="27"/>
  <c r="F34" i="27"/>
  <c r="G34" i="27"/>
  <c r="H34" i="27"/>
  <c r="I34" i="27"/>
  <c r="J34" i="27"/>
  <c r="K34" i="27"/>
  <c r="L34" i="27"/>
  <c r="M34" i="27"/>
  <c r="N34" i="27"/>
  <c r="O34" i="27"/>
  <c r="B34" i="27"/>
  <c r="P6" i="27"/>
  <c r="P7" i="27"/>
  <c r="P8" i="27"/>
  <c r="P9" i="27"/>
  <c r="P10" i="27"/>
  <c r="P11" i="27"/>
  <c r="P12" i="27"/>
  <c r="P13" i="27"/>
  <c r="P14" i="27"/>
  <c r="P15" i="27"/>
  <c r="P16" i="27"/>
  <c r="P17" i="27"/>
  <c r="P18" i="27"/>
  <c r="P19" i="27"/>
  <c r="P20" i="27"/>
  <c r="P21" i="27"/>
  <c r="P22" i="27"/>
  <c r="P23" i="27"/>
  <c r="P24" i="27"/>
  <c r="P25" i="27"/>
  <c r="P26" i="27"/>
  <c r="P27" i="27"/>
  <c r="P28" i="27"/>
  <c r="P29" i="27"/>
  <c r="P30" i="27"/>
  <c r="P31" i="27"/>
  <c r="P32" i="27"/>
  <c r="P33" i="27"/>
  <c r="P5" i="27"/>
  <c r="P34" i="27" l="1"/>
</calcChain>
</file>

<file path=xl/sharedStrings.xml><?xml version="1.0" encoding="utf-8"?>
<sst xmlns="http://schemas.openxmlformats.org/spreadsheetml/2006/main" count="1198" uniqueCount="212">
  <si>
    <t>계</t>
  </si>
  <si>
    <t>4월 2주</t>
  </si>
  <si>
    <t>4월 3주</t>
  </si>
  <si>
    <t>4월 4주</t>
  </si>
  <si>
    <t>4월 5주</t>
  </si>
  <si>
    <t>5월 2주</t>
  </si>
  <si>
    <t>5월 3주</t>
  </si>
  <si>
    <t>5월 4주</t>
  </si>
  <si>
    <t>8월 1주</t>
  </si>
  <si>
    <t>8월 2주</t>
  </si>
  <si>
    <t>8월 3주</t>
  </si>
  <si>
    <t>8월 4주</t>
  </si>
  <si>
    <t>9월 1주</t>
  </si>
  <si>
    <t>9월 2주</t>
  </si>
  <si>
    <t>9월 3주</t>
  </si>
  <si>
    <t>9월 4주</t>
  </si>
  <si>
    <t>10월 1주</t>
  </si>
  <si>
    <t>10월 2주</t>
  </si>
  <si>
    <t>10월 3주</t>
  </si>
  <si>
    <t>10월 4주</t>
  </si>
  <si>
    <t>11월 1주</t>
  </si>
  <si>
    <t>11월 2주</t>
  </si>
  <si>
    <t>11월 3주</t>
  </si>
  <si>
    <t>11월 4주</t>
  </si>
  <si>
    <t>채집일</t>
  </si>
  <si>
    <t>Cx.bit.</t>
  </si>
  <si>
    <t>Cx.ori.</t>
  </si>
  <si>
    <t>Cx.pip.</t>
  </si>
  <si>
    <t>Cx.tri.</t>
  </si>
  <si>
    <t>Cx.vag</t>
  </si>
  <si>
    <t>An.sin.</t>
  </si>
  <si>
    <t>An.sir.</t>
  </si>
  <si>
    <t>An.pul.</t>
  </si>
  <si>
    <t>Ae.alb.</t>
  </si>
  <si>
    <t>Ae.dor.</t>
  </si>
  <si>
    <t>Ae.kor.</t>
  </si>
  <si>
    <t>Ae.tog.</t>
  </si>
  <si>
    <t>Ae.vex.</t>
  </si>
  <si>
    <t>Ar.sub.</t>
  </si>
  <si>
    <t>동양집모기</t>
  </si>
  <si>
    <t>빨간집모기</t>
  </si>
  <si>
    <t>줄다리집모기</t>
  </si>
  <si>
    <t>흰줄숲모기</t>
  </si>
  <si>
    <t>등줄숲모기</t>
  </si>
  <si>
    <t>한국숲모기</t>
  </si>
  <si>
    <t>토고숲모기</t>
  </si>
  <si>
    <t>금빛숲모기</t>
  </si>
  <si>
    <t>5월2주</t>
  </si>
  <si>
    <t>5월3주</t>
  </si>
  <si>
    <t>6월2주</t>
  </si>
  <si>
    <t>7월2주</t>
  </si>
  <si>
    <t>7월4주</t>
  </si>
  <si>
    <t>8월2주</t>
  </si>
  <si>
    <t>8월3주</t>
  </si>
  <si>
    <t>8월4주</t>
  </si>
  <si>
    <t>8월5주</t>
  </si>
  <si>
    <t>9월3주</t>
  </si>
  <si>
    <t>11월3주</t>
  </si>
  <si>
    <t>5월 5주</t>
  </si>
  <si>
    <t>6월 4주</t>
  </si>
  <si>
    <t>7월 2주</t>
  </si>
  <si>
    <t>7월 3주</t>
  </si>
  <si>
    <t>7월 4주</t>
  </si>
  <si>
    <t>7월 5주</t>
  </si>
  <si>
    <t>10월 5주</t>
  </si>
  <si>
    <t>서울시보건환경연구원</t>
  </si>
  <si>
    <t>월별</t>
  </si>
  <si>
    <t>모기 계</t>
  </si>
  <si>
    <t>2013-4</t>
  </si>
  <si>
    <t>2013-5</t>
  </si>
  <si>
    <t>5월 1주</t>
  </si>
  <si>
    <t>2013-6</t>
  </si>
  <si>
    <t>6월 1주</t>
  </si>
  <si>
    <t>6월 2주</t>
  </si>
  <si>
    <t>6월 3주</t>
  </si>
  <si>
    <t>2013-7</t>
  </si>
  <si>
    <t>7월 1주</t>
  </si>
  <si>
    <t>2013-8</t>
  </si>
  <si>
    <t>2013-9</t>
  </si>
  <si>
    <t>2013-10</t>
  </si>
  <si>
    <t>2013-11</t>
  </si>
  <si>
    <t>2013년 총계</t>
  </si>
  <si>
    <t>4월4주</t>
  </si>
  <si>
    <t>5월1주</t>
  </si>
  <si>
    <t>5월4주</t>
  </si>
  <si>
    <t>6월1주</t>
  </si>
  <si>
    <t>6월3주</t>
  </si>
  <si>
    <t>6월4주</t>
  </si>
  <si>
    <t>7월1주</t>
  </si>
  <si>
    <t>7월3주</t>
  </si>
  <si>
    <t>7월5주</t>
  </si>
  <si>
    <t>8월1주</t>
  </si>
  <si>
    <t>6월5주</t>
  </si>
  <si>
    <t>9월1주</t>
  </si>
  <si>
    <t>9월2주</t>
  </si>
  <si>
    <t>9월4주</t>
  </si>
  <si>
    <t>9월5주</t>
  </si>
  <si>
    <t>10월1주</t>
  </si>
  <si>
    <t>10월2주</t>
  </si>
  <si>
    <t>10월3주</t>
  </si>
  <si>
    <t>10월4주</t>
  </si>
  <si>
    <t>11월2주</t>
  </si>
  <si>
    <t>월  별</t>
  </si>
  <si>
    <t>2014-4</t>
  </si>
  <si>
    <t>2014-5</t>
  </si>
  <si>
    <t>2014-6</t>
  </si>
  <si>
    <t>2014-7</t>
  </si>
  <si>
    <t>2014-8</t>
  </si>
  <si>
    <t>2014-9</t>
  </si>
  <si>
    <t>2014-10</t>
  </si>
  <si>
    <t>2014년 총계</t>
  </si>
  <si>
    <t>4월3주</t>
  </si>
  <si>
    <t>11월1주</t>
  </si>
  <si>
    <t>9월 5주</t>
  </si>
  <si>
    <t>2016-4</t>
  </si>
  <si>
    <t>2016-5</t>
  </si>
  <si>
    <t>2016-6</t>
  </si>
  <si>
    <t>2016-7</t>
  </si>
  <si>
    <t>2016-8</t>
  </si>
  <si>
    <t>8월 5주</t>
  </si>
  <si>
    <t>2016-9</t>
  </si>
  <si>
    <t>2016-10</t>
  </si>
  <si>
    <t>2016-11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</si>
  <si>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</si>
  <si>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</si>
  <si>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</si>
  <si>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</si>
  <si>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</si>
  <si>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</si>
  <si>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</si>
  <si>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</si>
  <si>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2018-5</t>
  </si>
  <si>
    <t>2018-4</t>
  </si>
  <si>
    <t>5월5주</t>
  </si>
  <si>
    <t>2018-6</t>
  </si>
  <si>
    <t>2018-7</t>
  </si>
  <si>
    <t>2018-8</t>
  </si>
  <si>
    <t>2018-9</t>
  </si>
  <si>
    <t>2018-10</t>
  </si>
  <si>
    <t>10월5주</t>
  </si>
  <si>
    <t>2018-11</t>
  </si>
  <si>
    <t>Oc. nip.</t>
  </si>
  <si>
    <t>흰어깨숲모기</t>
  </si>
  <si>
    <t>2021년 유문등 채집 모기개체 수 현황</t>
  </si>
  <si>
    <t>An.kor.</t>
  </si>
  <si>
    <t>An.les.</t>
  </si>
  <si>
    <t>반점날개집모기</t>
  </si>
  <si>
    <t>작은빨간집모기</t>
  </si>
  <si>
    <t>중국얼룩날개모기</t>
  </si>
  <si>
    <t>가중국얼룩날개모기</t>
  </si>
  <si>
    <t>한국얼룩날개모기</t>
  </si>
  <si>
    <t>잿빛얼룩날개모기</t>
  </si>
  <si>
    <t>레스터얼룩    날개모기</t>
  </si>
  <si>
    <t>큰검정들모기</t>
  </si>
  <si>
    <t>2022년 유문등 채집 모기개체 수 현황</t>
  </si>
  <si>
    <t>Anopheles.</t>
  </si>
  <si>
    <t>얼룩날개모기속</t>
  </si>
  <si>
    <t>왕모기아과</t>
  </si>
  <si>
    <t>Toxorhynchitinae</t>
    <phoneticPr fontId="2" type="noConversion"/>
  </si>
  <si>
    <t>2020년 유문등 채집 모기개체 수 현황</t>
  </si>
  <si>
    <t>2019년 유문등 채집 모기개체 수 현황</t>
  </si>
  <si>
    <t>4월5주</t>
  </si>
  <si>
    <t>2018년 유문등 채집 모기개체 수 현황</t>
  </si>
  <si>
    <t>2018년 총계</t>
  </si>
  <si>
    <t>2017년 유문등 채집 모기개체 수 현황</t>
  </si>
  <si>
    <t>2017년 총계</t>
  </si>
  <si>
    <t>2016년 유문등 채집 모기개체 수 현황</t>
  </si>
  <si>
    <t>2016년 총계</t>
  </si>
  <si>
    <t>2015년 유문등 채집 모기개체 수 현황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</si>
  <si>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</si>
  <si>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</si>
  <si>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</si>
  <si>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</si>
  <si>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</si>
  <si>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</si>
  <si>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</si>
  <si>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</si>
  <si>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2015년 총계</t>
  </si>
  <si>
    <t>2014년 유문등 채집 모기개체 수 현황</t>
  </si>
  <si>
    <t>2014-11</t>
  </si>
  <si>
    <t>2013년 유문등 채집 모기개체 수 현황</t>
  </si>
  <si>
    <t>2012년 유문등 채집 모기개체 수 현황</t>
  </si>
  <si>
    <t>총계</t>
  </si>
  <si>
    <t>2011년 유문등 채집 모기개체 수 현황</t>
  </si>
  <si>
    <t>큰검정 들모기</t>
  </si>
  <si>
    <t>2010년 유문등 채집 모기개체 수 현황</t>
  </si>
  <si>
    <t>기타모기</t>
  </si>
  <si>
    <t>4월 1주</t>
  </si>
  <si>
    <t>6월 5주</t>
  </si>
  <si>
    <t>2009년 유문등 채집 모기개체 수 현황</t>
  </si>
  <si>
    <t>2008년 유문등 채집 모기개체 수 현황</t>
  </si>
  <si>
    <t>총계</t>
    <phoneticPr fontId="2" type="noConversion"/>
  </si>
  <si>
    <t>총계</t>
    <phoneticPr fontId="2" type="noConversion"/>
  </si>
  <si>
    <t>2023년 유문등 채집 모기개체 수 현황</t>
    <phoneticPr fontId="2" type="noConversion"/>
  </si>
  <si>
    <t>Anopheles.</t>
    <phoneticPr fontId="2" type="noConversion"/>
  </si>
  <si>
    <t>반점날개집모기</t>
    <phoneticPr fontId="2" type="noConversion"/>
  </si>
  <si>
    <t>작은빨간집모기</t>
    <phoneticPr fontId="2" type="noConversion"/>
  </si>
  <si>
    <t>얼룩날개모기속</t>
    <phoneticPr fontId="2" type="noConversion"/>
  </si>
  <si>
    <t>큰검정들모기</t>
    <phoneticPr fontId="2" type="noConversion"/>
  </si>
  <si>
    <t>10월 2주</t>
    <phoneticPr fontId="2" type="noConversion"/>
  </si>
  <si>
    <t>2023년 총계</t>
    <phoneticPr fontId="2" type="noConversion"/>
  </si>
  <si>
    <t>2023-04</t>
    <phoneticPr fontId="2" type="noConversion"/>
  </si>
  <si>
    <t>2023-04</t>
    <phoneticPr fontId="2" type="noConversion"/>
  </si>
  <si>
    <t>2023-05</t>
    <phoneticPr fontId="2" type="noConversion"/>
  </si>
  <si>
    <t>2023-06</t>
    <phoneticPr fontId="2" type="noConversion"/>
  </si>
  <si>
    <t>2023-07</t>
    <phoneticPr fontId="2" type="noConversion"/>
  </si>
  <si>
    <t>2023-08</t>
    <phoneticPr fontId="2" type="noConversion"/>
  </si>
  <si>
    <t>2023-09</t>
    <phoneticPr fontId="2" type="noConversion"/>
  </si>
  <si>
    <t>2023-10</t>
    <phoneticPr fontId="2" type="noConversion"/>
  </si>
  <si>
    <t>2023-10</t>
    <phoneticPr fontId="2" type="noConversion"/>
  </si>
  <si>
    <t>2023-10</t>
    <phoneticPr fontId="2" type="noConversion"/>
  </si>
  <si>
    <t>2023-10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</si>
</sst>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1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FF000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9.5"/>
      <name val="돋움"/>
      <family val="3"/>
      <charset val="129"/>
    </font>
    <font>
      <b/>
      <sz val="16"/>
      <color rgb="FF000000"/>
      <name val="맑은 고딕"/>
      <family val="3"/>
      <charset val="129"/>
      <scheme val="major"/>
    </font>
    <font>
      <b/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i/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3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4" fillId="0" borderId="0"/>
    <xf numFmtId="0" fontId="5" fillId="0" borderId="0">
      <alignment vertical="center"/>
    </xf>
    <xf numFmtId="0" fontId="4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41" fontId="0" fillId="0" borderId="1" xfId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41" fontId="0" fillId="2" borderId="1" xfId="1" applyFont="1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41" fontId="9" fillId="2" borderId="1" xfId="1" applyFont="1" applyFill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 wrapText="1"/>
    </xf>
    <xf numFmtId="41" fontId="6" fillId="3" borderId="3" xfId="1" applyFont="1" applyFill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  <xf numFmtId="41" fontId="6" fillId="3" borderId="3" xfId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41" fontId="0" fillId="0" borderId="0" xfId="1" applyFont="1"/>
    <xf numFmtId="0" fontId="7" fillId="0" borderId="0" xfId="0" applyFont="1"/>
    <xf numFmtId="0" fontId="8" fillId="0" borderId="0" xfId="0" applyFont="1" applyAlignment="1"/>
    <xf numFmtId="0" fontId="4" fillId="0" borderId="0" xfId="8" applyNumberFormat="1"/>
    <xf numFmtId="0" fontId="4" fillId="0" borderId="0" xfId="8" applyNumberFormat="1" applyFill="1" applyBorder="1" applyAlignment="1">
      <alignment horizontal="left" vertical="center" shrinkToFit="1"/>
    </xf>
    <xf numFmtId="0" fontId="4" fillId="0" borderId="0" xfId="10" applyNumberFormat="1" applyFill="1"/>
    <xf numFmtId="0" fontId="4" fillId="0" borderId="0" xfId="8" applyNumberFormat="1" applyFill="1" applyBorder="1" applyAlignment="1">
      <alignment horizontal="left" vertical="center"/>
    </xf>
    <xf numFmtId="0" fontId="4" fillId="0" borderId="0" xfId="8" applyNumberFormat="1" applyBorder="1" applyAlignment="1">
      <alignment horizontal="left" vertical="center"/>
    </xf>
    <xf numFmtId="0" fontId="4" fillId="0" borderId="0" xfId="8" applyNumberFormat="1" applyFont="1" applyBorder="1" applyAlignment="1">
      <alignment vertical="center"/>
    </xf>
    <xf numFmtId="0" fontId="11" fillId="0" borderId="0" xfId="8" applyNumberFormat="1" applyFont="1" applyBorder="1" applyAlignment="1">
      <alignment horizontal="right" vertical="center"/>
    </xf>
    <xf numFmtId="0" fontId="13" fillId="2" borderId="7" xfId="8" applyNumberFormat="1" applyFont="1" applyFill="1" applyBorder="1" applyAlignment="1">
      <alignment horizontal="center" vertical="center"/>
    </xf>
    <xf numFmtId="0" fontId="14" fillId="2" borderId="8" xfId="8" applyNumberFormat="1" applyFont="1" applyFill="1" applyBorder="1" applyAlignment="1">
      <alignment horizontal="center" vertical="center"/>
    </xf>
    <xf numFmtId="0" fontId="15" fillId="2" borderId="10" xfId="8" applyNumberFormat="1" applyFont="1" applyFill="1" applyBorder="1" applyAlignment="1">
      <alignment horizontal="center" vertical="center" wrapText="1"/>
    </xf>
    <xf numFmtId="0" fontId="14" fillId="2" borderId="11" xfId="8" applyNumberFormat="1" applyFont="1" applyFill="1" applyBorder="1" applyAlignment="1">
      <alignment horizontal="center" vertical="center"/>
    </xf>
    <xf numFmtId="0" fontId="4" fillId="0" borderId="1" xfId="8" applyNumberFormat="1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 wrapText="1"/>
    </xf>
    <xf numFmtId="176" fontId="4" fillId="0" borderId="1" xfId="1" applyNumberFormat="1" applyFont="1" applyFill="1" applyBorder="1" applyAlignment="1">
      <alignment horizontal="center" vertical="center" wrapText="1"/>
    </xf>
    <xf numFmtId="176" fontId="4" fillId="0" borderId="13" xfId="1" applyNumberFormat="1" applyFont="1" applyBorder="1" applyAlignment="1">
      <alignment horizontal="center" vertical="center" wrapText="1"/>
    </xf>
    <xf numFmtId="176" fontId="6" fillId="3" borderId="15" xfId="1" applyNumberFormat="1" applyFont="1" applyFill="1" applyBorder="1" applyAlignment="1">
      <alignment horizontal="center" vertical="center"/>
    </xf>
    <xf numFmtId="176" fontId="6" fillId="3" borderId="16" xfId="1" applyNumberFormat="1" applyFont="1" applyFill="1" applyBorder="1" applyAlignment="1">
      <alignment horizontal="center" vertical="center"/>
    </xf>
    <xf numFmtId="49" fontId="4" fillId="0" borderId="12" xfId="8" applyNumberFormat="1" applyFont="1" applyBorder="1" applyAlignment="1">
      <alignment horizontal="center" vertical="center"/>
    </xf>
    <xf numFmtId="0" fontId="10" fillId="0" borderId="0" xfId="8" applyNumberFormat="1" applyFont="1" applyAlignment="1">
      <alignment horizontal="center" vertical="center"/>
    </xf>
    <xf numFmtId="0" fontId="4" fillId="0" borderId="0" xfId="8" applyNumberFormat="1" applyBorder="1" applyAlignment="1">
      <alignment horizontal="left" vertical="center"/>
    </xf>
    <xf numFmtId="49" fontId="12" fillId="2" borderId="6" xfId="8" applyNumberFormat="1" applyFont="1" applyFill="1" applyBorder="1" applyAlignment="1" applyProtection="1">
      <alignment horizontal="center" vertical="center" shrinkToFit="1"/>
    </xf>
    <xf numFmtId="49" fontId="12" fillId="2" borderId="9" xfId="8" applyNumberFormat="1" applyFont="1" applyFill="1" applyBorder="1" applyAlignment="1" applyProtection="1">
      <alignment horizontal="center" vertical="center" shrinkToFit="1"/>
    </xf>
    <xf numFmtId="0" fontId="12" fillId="2" borderId="7" xfId="8" applyNumberFormat="1" applyFont="1" applyFill="1" applyBorder="1" applyAlignment="1" applyProtection="1">
      <alignment horizontal="center" vertical="center" shrinkToFit="1"/>
    </xf>
    <xf numFmtId="0" fontId="12" fillId="2" borderId="10" xfId="8" applyNumberFormat="1" applyFont="1" applyFill="1" applyBorder="1" applyAlignment="1" applyProtection="1">
      <alignment horizontal="center" vertical="center" shrinkToFit="1"/>
    </xf>
    <xf numFmtId="49" fontId="12" fillId="3" borderId="14" xfId="8" applyNumberFormat="1" applyFont="1" applyFill="1" applyBorder="1" applyAlignment="1" applyProtection="1">
      <alignment horizontal="center" vertical="center"/>
    </xf>
    <xf numFmtId="49" fontId="12" fillId="3" borderId="15" xfId="8" applyNumberFormat="1" applyFont="1" applyFill="1" applyBorder="1" applyAlignment="1" applyProtection="1">
      <alignment horizontal="center"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2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0" fillId="2" borderId="5" xfId="1" applyFont="1" applyFill="1" applyBorder="1" applyAlignment="1">
      <alignment horizontal="center" vertical="center" wrapText="1"/>
    </xf>
    <xf numFmtId="41" fontId="0" fillId="2" borderId="2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41" fontId="6" fillId="3" borderId="4" xfId="1" applyFont="1" applyFill="1" applyBorder="1" applyAlignment="1">
      <alignment horizontal="center" vertical="center" wrapText="1"/>
    </xf>
    <xf numFmtId="41" fontId="6" fillId="3" borderId="3" xfId="1" applyFont="1" applyFill="1" applyBorder="1" applyAlignment="1">
      <alignment horizontal="center" vertical="center" wrapText="1"/>
    </xf>
    <xf numFmtId="0" fontId="4" fillId="0" borderId="1" xfId="8" applyNumberFormat="1" applyFont="1" applyBorder="1" applyAlignment="1">
      <alignment horizontal="center" vertical="center" wrapText="1"/>
    </xf>
  </cellXfs>
  <cellStyles count="11">
    <cellStyle name="쉼표 [0]" xfId="1" builtinId="6"/>
    <cellStyle name="쉼표 [0] 2" xfId="4"/>
    <cellStyle name="쉼표 [0] 3" xfId="7"/>
    <cellStyle name="표준" xfId="0" builtinId="0"/>
    <cellStyle name="표준 2" xfId="2"/>
    <cellStyle name="표준 2 2" xfId="8"/>
    <cellStyle name="표준 3" xfId="3"/>
    <cellStyle name="표준 4" xfId="5"/>
    <cellStyle name="표준 5" xfId="9"/>
    <cellStyle name="표준 7" xfId="6"/>
    <cellStyle name="표준 7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abSelected="1" zoomScale="90" zoomScaleNormal="90" workbookViewId="0">
      <selection activeCell="Q29" sqref="Q29"/>
    </sheetView>
  </sheetViews>
  <sheetFormatPr defaultRowHeight="13.5" x14ac:dyDescent="0.15"/>
  <cols>
    <col min="1" max="1" width="8.77734375" customWidth="1"/>
  </cols>
  <sheetData>
    <row r="1" spans="1:16" ht="21" customHeight="1" x14ac:dyDescent="0.15">
      <c r="A1" s="38" t="s">
        <v>193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14.25" thickBot="1" x14ac:dyDescent="0.2">
      <c r="A2" s="20"/>
      <c r="B2" s="21"/>
      <c r="C2" s="39"/>
      <c r="D2" s="39"/>
      <c r="E2" s="39"/>
      <c r="F2" s="22"/>
      <c r="G2" s="23"/>
      <c r="H2" s="23"/>
      <c r="I2" s="24"/>
      <c r="J2" s="20"/>
      <c r="L2" s="25"/>
      <c r="M2" s="25"/>
      <c r="N2" s="25"/>
      <c r="O2" s="25"/>
      <c r="P2" s="26" t="s">
        <v>65</v>
      </c>
    </row>
    <row r="3" spans="1:16" x14ac:dyDescent="0.15">
      <c r="A3" s="40" t="s">
        <v>102</v>
      </c>
      <c r="B3" s="42" t="s">
        <v>24</v>
      </c>
      <c r="C3" s="27" t="s">
        <v>25</v>
      </c>
      <c r="D3" s="27" t="s">
        <v>26</v>
      </c>
      <c r="E3" s="27" t="s">
        <v>27</v>
      </c>
      <c r="F3" s="27" t="s">
        <v>28</v>
      </c>
      <c r="G3" s="27" t="s">
        <v>29</v>
      </c>
      <c r="H3" s="27" t="s">
        <v>194</v>
      </c>
      <c r="I3" s="27" t="s">
        <v>33</v>
      </c>
      <c r="J3" s="27" t="s">
        <v>34</v>
      </c>
      <c r="K3" s="27" t="s">
        <v>35</v>
      </c>
      <c r="L3" s="27" t="s">
        <v>36</v>
      </c>
      <c r="M3" s="27" t="s">
        <v>37</v>
      </c>
      <c r="N3" s="27" t="s">
        <v>141</v>
      </c>
      <c r="O3" s="27" t="s">
        <v>38</v>
      </c>
      <c r="P3" s="28" t="s">
        <v>67</v>
      </c>
    </row>
    <row r="4" spans="1:16" ht="23.25" thickBot="1" x14ac:dyDescent="0.2">
      <c r="A4" s="41"/>
      <c r="B4" s="43"/>
      <c r="C4" s="29" t="s">
        <v>195</v>
      </c>
      <c r="D4" s="29" t="s">
        <v>39</v>
      </c>
      <c r="E4" s="29" t="s">
        <v>40</v>
      </c>
      <c r="F4" s="29" t="s">
        <v>196</v>
      </c>
      <c r="G4" s="29" t="s">
        <v>41</v>
      </c>
      <c r="H4" s="29" t="s">
        <v>197</v>
      </c>
      <c r="I4" s="29" t="s">
        <v>42</v>
      </c>
      <c r="J4" s="29" t="s">
        <v>43</v>
      </c>
      <c r="K4" s="29" t="s">
        <v>44</v>
      </c>
      <c r="L4" s="29" t="s">
        <v>45</v>
      </c>
      <c r="M4" s="29" t="s">
        <v>46</v>
      </c>
      <c r="N4" s="29" t="s">
        <v>142</v>
      </c>
      <c r="O4" s="29" t="s">
        <v>198</v>
      </c>
      <c r="P4" s="30" t="s">
        <v>67</v>
      </c>
    </row>
    <row r="5" spans="1:16" ht="15.75" customHeight="1" thickTop="1" x14ac:dyDescent="0.15">
      <c r="A5" s="37" t="s">
        <v>201</v>
      </c>
      <c r="B5" s="31" t="s">
        <v>187</v>
      </c>
      <c r="C5" s="32">
        <v>0</v>
      </c>
      <c r="D5" s="32">
        <v>0</v>
      </c>
      <c r="E5" s="32">
        <v>34</v>
      </c>
      <c r="F5" s="33">
        <v>0</v>
      </c>
      <c r="G5" s="33">
        <v>0</v>
      </c>
      <c r="H5" s="33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4">
        <f t="shared" ref="P5:P31" si="0">SUM(C5:O5)</f>
        <v>34</v>
      </c>
    </row>
    <row r="6" spans="1:16" ht="15.75" customHeight="1" x14ac:dyDescent="0.15">
      <c r="A6" s="37" t="s">
        <v>202</v>
      </c>
      <c r="B6" s="31" t="s">
        <v>1</v>
      </c>
      <c r="C6" s="32">
        <v>0</v>
      </c>
      <c r="D6" s="32">
        <v>2</v>
      </c>
      <c r="E6" s="32">
        <v>41</v>
      </c>
      <c r="F6" s="33">
        <v>0</v>
      </c>
      <c r="G6" s="33">
        <v>0</v>
      </c>
      <c r="H6" s="33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4">
        <f t="shared" si="0"/>
        <v>43</v>
      </c>
    </row>
    <row r="7" spans="1:16" ht="15.75" customHeight="1" x14ac:dyDescent="0.15">
      <c r="A7" s="37" t="s">
        <v>202</v>
      </c>
      <c r="B7" s="31" t="s">
        <v>2</v>
      </c>
      <c r="C7" s="32">
        <v>0</v>
      </c>
      <c r="D7" s="32">
        <v>0</v>
      </c>
      <c r="E7" s="32">
        <v>68</v>
      </c>
      <c r="F7" s="33">
        <v>0</v>
      </c>
      <c r="G7" s="33">
        <v>1</v>
      </c>
      <c r="H7" s="33">
        <v>0</v>
      </c>
      <c r="I7" s="32">
        <v>0</v>
      </c>
      <c r="J7" s="32">
        <v>0</v>
      </c>
      <c r="K7" s="32">
        <v>2</v>
      </c>
      <c r="L7" s="32">
        <v>0</v>
      </c>
      <c r="M7" s="32">
        <v>0</v>
      </c>
      <c r="N7" s="32">
        <v>0</v>
      </c>
      <c r="O7" s="32">
        <v>0</v>
      </c>
      <c r="P7" s="34">
        <f t="shared" si="0"/>
        <v>71</v>
      </c>
    </row>
    <row r="8" spans="1:16" ht="15.75" customHeight="1" x14ac:dyDescent="0.15">
      <c r="A8" s="37" t="s">
        <v>202</v>
      </c>
      <c r="B8" s="31" t="s">
        <v>3</v>
      </c>
      <c r="C8" s="32">
        <v>0</v>
      </c>
      <c r="D8" s="32">
        <v>0</v>
      </c>
      <c r="E8" s="32">
        <v>62</v>
      </c>
      <c r="F8" s="33">
        <v>0</v>
      </c>
      <c r="G8" s="33">
        <v>13</v>
      </c>
      <c r="H8" s="33">
        <v>0</v>
      </c>
      <c r="I8" s="32">
        <v>0</v>
      </c>
      <c r="J8" s="32">
        <v>0</v>
      </c>
      <c r="K8" s="32">
        <v>1</v>
      </c>
      <c r="L8" s="32">
        <v>0</v>
      </c>
      <c r="M8" s="32">
        <v>0</v>
      </c>
      <c r="N8" s="32">
        <v>0</v>
      </c>
      <c r="O8" s="32">
        <v>0</v>
      </c>
      <c r="P8" s="34">
        <f t="shared" si="0"/>
        <v>76</v>
      </c>
    </row>
    <row r="9" spans="1:16" ht="15.75" customHeight="1" x14ac:dyDescent="0.15">
      <c r="A9" s="37" t="s">
        <v>203</v>
      </c>
      <c r="B9" s="31" t="s">
        <v>70</v>
      </c>
      <c r="C9" s="32">
        <v>0</v>
      </c>
      <c r="D9" s="32">
        <v>0</v>
      </c>
      <c r="E9" s="32">
        <v>71</v>
      </c>
      <c r="F9" s="33">
        <v>0</v>
      </c>
      <c r="G9" s="33">
        <v>16</v>
      </c>
      <c r="H9" s="33">
        <v>0</v>
      </c>
      <c r="I9" s="32">
        <v>0</v>
      </c>
      <c r="J9" s="32">
        <v>0</v>
      </c>
      <c r="K9" s="32">
        <v>5</v>
      </c>
      <c r="L9" s="32">
        <v>0</v>
      </c>
      <c r="M9" s="32">
        <v>0</v>
      </c>
      <c r="N9" s="32">
        <v>0</v>
      </c>
      <c r="O9" s="32">
        <v>0</v>
      </c>
      <c r="P9" s="34">
        <f t="shared" si="0"/>
        <v>92</v>
      </c>
    </row>
    <row r="10" spans="1:16" ht="15.75" customHeight="1" x14ac:dyDescent="0.15">
      <c r="A10" s="37" t="s">
        <v>203</v>
      </c>
      <c r="B10" s="31" t="s">
        <v>5</v>
      </c>
      <c r="C10" s="32">
        <v>0</v>
      </c>
      <c r="D10" s="32">
        <v>0</v>
      </c>
      <c r="E10" s="32">
        <v>94</v>
      </c>
      <c r="F10" s="33">
        <v>0</v>
      </c>
      <c r="G10" s="33">
        <v>35</v>
      </c>
      <c r="H10" s="33">
        <v>0</v>
      </c>
      <c r="I10" s="32">
        <v>0</v>
      </c>
      <c r="J10" s="32">
        <v>0</v>
      </c>
      <c r="K10" s="32">
        <v>8</v>
      </c>
      <c r="L10" s="32">
        <v>0</v>
      </c>
      <c r="M10" s="32">
        <v>0</v>
      </c>
      <c r="N10" s="32">
        <v>0</v>
      </c>
      <c r="O10" s="32">
        <v>0</v>
      </c>
      <c r="P10" s="34">
        <f t="shared" si="0"/>
        <v>137</v>
      </c>
    </row>
    <row r="11" spans="1:16" ht="15.75" customHeight="1" x14ac:dyDescent="0.15">
      <c r="A11" s="37" t="s">
        <v>203</v>
      </c>
      <c r="B11" s="31" t="s">
        <v>6</v>
      </c>
      <c r="C11" s="32">
        <v>0</v>
      </c>
      <c r="D11" s="32">
        <v>1</v>
      </c>
      <c r="E11" s="32">
        <v>112</v>
      </c>
      <c r="F11" s="33">
        <v>0</v>
      </c>
      <c r="G11" s="33">
        <v>14</v>
      </c>
      <c r="H11" s="33">
        <v>0</v>
      </c>
      <c r="I11" s="32">
        <v>0</v>
      </c>
      <c r="J11" s="32">
        <v>0</v>
      </c>
      <c r="K11" s="32">
        <v>20</v>
      </c>
      <c r="L11" s="32">
        <v>0</v>
      </c>
      <c r="M11" s="32">
        <v>0</v>
      </c>
      <c r="N11" s="32">
        <v>0</v>
      </c>
      <c r="O11" s="32">
        <v>0</v>
      </c>
      <c r="P11" s="34">
        <f t="shared" si="0"/>
        <v>147</v>
      </c>
    </row>
    <row r="12" spans="1:16" ht="15.75" customHeight="1" x14ac:dyDescent="0.15">
      <c r="A12" s="37" t="s">
        <v>203</v>
      </c>
      <c r="B12" s="31" t="s">
        <v>7</v>
      </c>
      <c r="C12" s="32">
        <v>0</v>
      </c>
      <c r="D12" s="32">
        <v>0</v>
      </c>
      <c r="E12" s="32">
        <v>123</v>
      </c>
      <c r="F12" s="33">
        <v>0</v>
      </c>
      <c r="G12" s="33">
        <v>3</v>
      </c>
      <c r="H12" s="33">
        <v>0</v>
      </c>
      <c r="I12" s="32">
        <v>0</v>
      </c>
      <c r="J12" s="32">
        <v>0</v>
      </c>
      <c r="K12" s="32">
        <v>30</v>
      </c>
      <c r="L12" s="32">
        <v>0</v>
      </c>
      <c r="M12" s="32">
        <v>3</v>
      </c>
      <c r="N12" s="32">
        <v>0</v>
      </c>
      <c r="O12" s="32">
        <v>1</v>
      </c>
      <c r="P12" s="34">
        <f t="shared" si="0"/>
        <v>160</v>
      </c>
    </row>
    <row r="13" spans="1:16" ht="15.75" customHeight="1" x14ac:dyDescent="0.15">
      <c r="A13" s="37" t="s">
        <v>203</v>
      </c>
      <c r="B13" s="31" t="s">
        <v>58</v>
      </c>
      <c r="C13" s="32">
        <v>0</v>
      </c>
      <c r="D13" s="32">
        <v>1</v>
      </c>
      <c r="E13" s="32">
        <v>163</v>
      </c>
      <c r="F13" s="33">
        <v>0</v>
      </c>
      <c r="G13" s="33">
        <v>8</v>
      </c>
      <c r="H13" s="33">
        <v>0</v>
      </c>
      <c r="I13" s="32">
        <v>0</v>
      </c>
      <c r="J13" s="32">
        <v>0</v>
      </c>
      <c r="K13" s="32">
        <v>22</v>
      </c>
      <c r="L13" s="32">
        <v>0</v>
      </c>
      <c r="M13" s="32">
        <v>19</v>
      </c>
      <c r="N13" s="32">
        <v>0</v>
      </c>
      <c r="O13" s="32">
        <v>1</v>
      </c>
      <c r="P13" s="34">
        <f t="shared" si="0"/>
        <v>214</v>
      </c>
    </row>
    <row r="14" spans="1:16" ht="15.75" customHeight="1" x14ac:dyDescent="0.15">
      <c r="A14" s="37" t="s">
        <v>204</v>
      </c>
      <c r="B14" s="31" t="s">
        <v>72</v>
      </c>
      <c r="C14" s="32">
        <v>0</v>
      </c>
      <c r="D14" s="32">
        <v>0</v>
      </c>
      <c r="E14" s="32">
        <v>164</v>
      </c>
      <c r="F14" s="33">
        <v>0</v>
      </c>
      <c r="G14" s="33">
        <v>8</v>
      </c>
      <c r="H14" s="33">
        <v>1</v>
      </c>
      <c r="I14" s="32">
        <v>2</v>
      </c>
      <c r="J14" s="32">
        <v>0</v>
      </c>
      <c r="K14" s="32">
        <v>28</v>
      </c>
      <c r="L14" s="32">
        <v>0</v>
      </c>
      <c r="M14" s="32">
        <v>14</v>
      </c>
      <c r="N14" s="32">
        <v>0</v>
      </c>
      <c r="O14" s="32">
        <v>0</v>
      </c>
      <c r="P14" s="34">
        <f t="shared" si="0"/>
        <v>217</v>
      </c>
    </row>
    <row r="15" spans="1:16" ht="15.75" customHeight="1" x14ac:dyDescent="0.15">
      <c r="A15" s="37" t="s">
        <v>204</v>
      </c>
      <c r="B15" s="31" t="s">
        <v>73</v>
      </c>
      <c r="C15" s="32">
        <v>0</v>
      </c>
      <c r="D15" s="32">
        <v>0</v>
      </c>
      <c r="E15" s="32">
        <v>235</v>
      </c>
      <c r="F15" s="33">
        <v>0</v>
      </c>
      <c r="G15" s="33">
        <v>5</v>
      </c>
      <c r="H15" s="33">
        <v>2</v>
      </c>
      <c r="I15" s="32">
        <v>0</v>
      </c>
      <c r="J15" s="32">
        <v>0</v>
      </c>
      <c r="K15" s="32">
        <v>35</v>
      </c>
      <c r="L15" s="32">
        <v>0</v>
      </c>
      <c r="M15" s="32">
        <v>21</v>
      </c>
      <c r="N15" s="32">
        <v>0</v>
      </c>
      <c r="O15" s="32">
        <v>0</v>
      </c>
      <c r="P15" s="34">
        <f t="shared" si="0"/>
        <v>298</v>
      </c>
    </row>
    <row r="16" spans="1:16" ht="15.75" customHeight="1" x14ac:dyDescent="0.15">
      <c r="A16" s="37" t="s">
        <v>204</v>
      </c>
      <c r="B16" s="31" t="s">
        <v>74</v>
      </c>
      <c r="C16" s="32">
        <v>1</v>
      </c>
      <c r="D16" s="32">
        <v>0</v>
      </c>
      <c r="E16" s="32">
        <v>229</v>
      </c>
      <c r="F16" s="33">
        <v>0</v>
      </c>
      <c r="G16" s="33">
        <v>1</v>
      </c>
      <c r="H16" s="33">
        <v>4</v>
      </c>
      <c r="I16" s="32">
        <v>3</v>
      </c>
      <c r="J16" s="32">
        <v>1</v>
      </c>
      <c r="K16" s="32">
        <v>32</v>
      </c>
      <c r="L16" s="32">
        <v>0</v>
      </c>
      <c r="M16" s="32">
        <v>20</v>
      </c>
      <c r="N16" s="32">
        <v>0</v>
      </c>
      <c r="O16" s="32">
        <v>0</v>
      </c>
      <c r="P16" s="34">
        <f t="shared" si="0"/>
        <v>291</v>
      </c>
    </row>
    <row r="17" spans="1:16" ht="15.75" customHeight="1" x14ac:dyDescent="0.15">
      <c r="A17" s="37" t="s">
        <v>204</v>
      </c>
      <c r="B17" s="31" t="s">
        <v>59</v>
      </c>
      <c r="C17" s="32">
        <v>0</v>
      </c>
      <c r="D17" s="32">
        <v>2</v>
      </c>
      <c r="E17" s="32">
        <v>255</v>
      </c>
      <c r="F17" s="33">
        <v>0</v>
      </c>
      <c r="G17" s="33">
        <v>0</v>
      </c>
      <c r="H17" s="33">
        <v>32</v>
      </c>
      <c r="I17" s="32">
        <v>4</v>
      </c>
      <c r="J17" s="32">
        <v>0</v>
      </c>
      <c r="K17" s="32">
        <v>26</v>
      </c>
      <c r="L17" s="32">
        <v>0</v>
      </c>
      <c r="M17" s="32">
        <v>0</v>
      </c>
      <c r="N17" s="32">
        <v>0</v>
      </c>
      <c r="O17" s="32">
        <v>0</v>
      </c>
      <c r="P17" s="34">
        <f t="shared" si="0"/>
        <v>319</v>
      </c>
    </row>
    <row r="18" spans="1:16" ht="15.75" customHeight="1" x14ac:dyDescent="0.15">
      <c r="A18" s="37" t="s">
        <v>205</v>
      </c>
      <c r="B18" s="31" t="s">
        <v>76</v>
      </c>
      <c r="C18" s="32">
        <v>0</v>
      </c>
      <c r="D18" s="32">
        <v>4</v>
      </c>
      <c r="E18" s="32">
        <v>282</v>
      </c>
      <c r="F18" s="33">
        <v>0</v>
      </c>
      <c r="G18" s="33">
        <v>3</v>
      </c>
      <c r="H18" s="33">
        <v>49</v>
      </c>
      <c r="I18" s="32">
        <v>7</v>
      </c>
      <c r="J18" s="32">
        <v>2</v>
      </c>
      <c r="K18" s="32">
        <v>70</v>
      </c>
      <c r="L18" s="32">
        <v>0</v>
      </c>
      <c r="M18" s="32">
        <v>14</v>
      </c>
      <c r="N18" s="32">
        <v>0</v>
      </c>
      <c r="O18" s="32">
        <v>1</v>
      </c>
      <c r="P18" s="34">
        <f t="shared" si="0"/>
        <v>432</v>
      </c>
    </row>
    <row r="19" spans="1:16" ht="15.75" customHeight="1" x14ac:dyDescent="0.15">
      <c r="A19" s="37" t="s">
        <v>205</v>
      </c>
      <c r="B19" s="31" t="s">
        <v>60</v>
      </c>
      <c r="C19" s="32">
        <v>0</v>
      </c>
      <c r="D19" s="32">
        <v>9</v>
      </c>
      <c r="E19" s="32">
        <v>390</v>
      </c>
      <c r="F19" s="33">
        <v>0</v>
      </c>
      <c r="G19" s="33">
        <v>4</v>
      </c>
      <c r="H19" s="33">
        <v>33</v>
      </c>
      <c r="I19" s="32">
        <v>7</v>
      </c>
      <c r="J19" s="32">
        <v>1</v>
      </c>
      <c r="K19" s="32">
        <v>94</v>
      </c>
      <c r="L19" s="32">
        <v>0</v>
      </c>
      <c r="M19" s="32">
        <v>13</v>
      </c>
      <c r="N19" s="32">
        <v>0</v>
      </c>
      <c r="O19" s="32">
        <v>2</v>
      </c>
      <c r="P19" s="34">
        <f t="shared" si="0"/>
        <v>553</v>
      </c>
    </row>
    <row r="20" spans="1:16" ht="15.75" customHeight="1" x14ac:dyDescent="0.15">
      <c r="A20" s="37" t="s">
        <v>205</v>
      </c>
      <c r="B20" s="31" t="s">
        <v>61</v>
      </c>
      <c r="C20" s="32">
        <v>1</v>
      </c>
      <c r="D20" s="32">
        <v>8</v>
      </c>
      <c r="E20" s="32">
        <v>304</v>
      </c>
      <c r="F20" s="33">
        <v>0</v>
      </c>
      <c r="G20" s="33">
        <v>1</v>
      </c>
      <c r="H20" s="33">
        <v>14</v>
      </c>
      <c r="I20" s="32">
        <v>7</v>
      </c>
      <c r="J20" s="32">
        <v>0</v>
      </c>
      <c r="K20" s="32">
        <v>78</v>
      </c>
      <c r="L20" s="32">
        <v>0</v>
      </c>
      <c r="M20" s="32">
        <v>8</v>
      </c>
      <c r="N20" s="32">
        <v>0</v>
      </c>
      <c r="O20" s="32">
        <v>2</v>
      </c>
      <c r="P20" s="34">
        <f t="shared" si="0"/>
        <v>423</v>
      </c>
    </row>
    <row r="21" spans="1:16" ht="15.75" customHeight="1" x14ac:dyDescent="0.15">
      <c r="A21" s="37" t="s">
        <v>205</v>
      </c>
      <c r="B21" s="31" t="s">
        <v>62</v>
      </c>
      <c r="C21" s="32">
        <v>0</v>
      </c>
      <c r="D21" s="32">
        <v>5</v>
      </c>
      <c r="E21" s="32">
        <v>293</v>
      </c>
      <c r="F21" s="33">
        <v>0</v>
      </c>
      <c r="G21" s="33">
        <v>2</v>
      </c>
      <c r="H21" s="33">
        <v>7</v>
      </c>
      <c r="I21" s="32">
        <v>14</v>
      </c>
      <c r="J21" s="32">
        <v>0</v>
      </c>
      <c r="K21" s="32">
        <v>76</v>
      </c>
      <c r="L21" s="32">
        <v>0</v>
      </c>
      <c r="M21" s="32">
        <v>7</v>
      </c>
      <c r="N21" s="32">
        <v>0</v>
      </c>
      <c r="O21" s="32">
        <v>4</v>
      </c>
      <c r="P21" s="34">
        <f t="shared" si="0"/>
        <v>408</v>
      </c>
    </row>
    <row r="22" spans="1:16" ht="15.75" customHeight="1" x14ac:dyDescent="0.15">
      <c r="A22" s="37" t="s">
        <v>205</v>
      </c>
      <c r="B22" s="31" t="s">
        <v>63</v>
      </c>
      <c r="C22" s="32">
        <v>0</v>
      </c>
      <c r="D22" s="32">
        <v>3</v>
      </c>
      <c r="E22" s="32">
        <v>289</v>
      </c>
      <c r="F22" s="33">
        <v>0</v>
      </c>
      <c r="G22" s="33">
        <v>5</v>
      </c>
      <c r="H22" s="33">
        <v>11</v>
      </c>
      <c r="I22" s="32">
        <v>8</v>
      </c>
      <c r="J22" s="32">
        <v>0</v>
      </c>
      <c r="K22" s="32">
        <v>156</v>
      </c>
      <c r="L22" s="32">
        <v>0</v>
      </c>
      <c r="M22" s="32">
        <v>9</v>
      </c>
      <c r="N22" s="32">
        <v>0</v>
      </c>
      <c r="O22" s="32">
        <v>2</v>
      </c>
      <c r="P22" s="34">
        <f t="shared" si="0"/>
        <v>483</v>
      </c>
    </row>
    <row r="23" spans="1:16" ht="15.75" customHeight="1" x14ac:dyDescent="0.15">
      <c r="A23" s="37" t="s">
        <v>206</v>
      </c>
      <c r="B23" s="31" t="s">
        <v>8</v>
      </c>
      <c r="C23" s="32">
        <v>0</v>
      </c>
      <c r="D23" s="32">
        <v>4</v>
      </c>
      <c r="E23" s="32">
        <v>478</v>
      </c>
      <c r="F23" s="33">
        <v>0</v>
      </c>
      <c r="G23" s="33">
        <v>17</v>
      </c>
      <c r="H23" s="33">
        <v>4</v>
      </c>
      <c r="I23" s="32">
        <v>13</v>
      </c>
      <c r="J23" s="32">
        <v>0</v>
      </c>
      <c r="K23" s="32">
        <v>79</v>
      </c>
      <c r="L23" s="32">
        <v>0</v>
      </c>
      <c r="M23" s="32">
        <v>4</v>
      </c>
      <c r="N23" s="32">
        <v>0</v>
      </c>
      <c r="O23" s="32">
        <v>0</v>
      </c>
      <c r="P23" s="34">
        <f t="shared" si="0"/>
        <v>599</v>
      </c>
    </row>
    <row r="24" spans="1:16" ht="15.75" customHeight="1" x14ac:dyDescent="0.15">
      <c r="A24" s="37" t="s">
        <v>206</v>
      </c>
      <c r="B24" s="31" t="s">
        <v>9</v>
      </c>
      <c r="C24" s="32">
        <v>0</v>
      </c>
      <c r="D24" s="32">
        <v>6</v>
      </c>
      <c r="E24" s="32">
        <v>460</v>
      </c>
      <c r="F24" s="33">
        <v>0</v>
      </c>
      <c r="G24" s="33">
        <v>7</v>
      </c>
      <c r="H24" s="33">
        <v>14</v>
      </c>
      <c r="I24" s="32">
        <v>19</v>
      </c>
      <c r="J24" s="32">
        <v>0</v>
      </c>
      <c r="K24" s="32">
        <v>75</v>
      </c>
      <c r="L24" s="32">
        <v>0</v>
      </c>
      <c r="M24" s="32">
        <v>8</v>
      </c>
      <c r="N24" s="32">
        <v>0</v>
      </c>
      <c r="O24" s="32">
        <v>2</v>
      </c>
      <c r="P24" s="34">
        <f t="shared" si="0"/>
        <v>591</v>
      </c>
    </row>
    <row r="25" spans="1:16" ht="15.75" customHeight="1" x14ac:dyDescent="0.15">
      <c r="A25" s="37" t="s">
        <v>206</v>
      </c>
      <c r="B25" s="31" t="s">
        <v>10</v>
      </c>
      <c r="C25" s="32">
        <v>1</v>
      </c>
      <c r="D25" s="32">
        <v>3</v>
      </c>
      <c r="E25" s="32">
        <v>307</v>
      </c>
      <c r="F25" s="33">
        <v>0</v>
      </c>
      <c r="G25" s="33">
        <v>0</v>
      </c>
      <c r="H25" s="33">
        <v>18</v>
      </c>
      <c r="I25" s="32">
        <v>20</v>
      </c>
      <c r="J25" s="32">
        <v>1</v>
      </c>
      <c r="K25" s="32">
        <v>35</v>
      </c>
      <c r="L25" s="32">
        <v>0</v>
      </c>
      <c r="M25" s="32">
        <v>8</v>
      </c>
      <c r="N25" s="32">
        <v>0</v>
      </c>
      <c r="O25" s="32">
        <v>2</v>
      </c>
      <c r="P25" s="34">
        <f t="shared" si="0"/>
        <v>395</v>
      </c>
    </row>
    <row r="26" spans="1:16" ht="15.75" customHeight="1" x14ac:dyDescent="0.15">
      <c r="A26" s="37" t="s">
        <v>206</v>
      </c>
      <c r="B26" s="31" t="s">
        <v>11</v>
      </c>
      <c r="C26" s="32">
        <v>0</v>
      </c>
      <c r="D26" s="32">
        <v>2</v>
      </c>
      <c r="E26" s="32">
        <v>241</v>
      </c>
      <c r="F26" s="33">
        <v>0</v>
      </c>
      <c r="G26" s="33">
        <v>0</v>
      </c>
      <c r="H26" s="33">
        <v>14</v>
      </c>
      <c r="I26" s="32">
        <v>5</v>
      </c>
      <c r="J26" s="32">
        <v>0</v>
      </c>
      <c r="K26" s="32">
        <v>19</v>
      </c>
      <c r="L26" s="32">
        <v>0</v>
      </c>
      <c r="M26" s="32">
        <v>4</v>
      </c>
      <c r="N26" s="32">
        <v>0</v>
      </c>
      <c r="O26" s="32">
        <v>2</v>
      </c>
      <c r="P26" s="34">
        <f t="shared" si="0"/>
        <v>287</v>
      </c>
    </row>
    <row r="27" spans="1:16" ht="15.75" customHeight="1" x14ac:dyDescent="0.15">
      <c r="A27" s="37" t="s">
        <v>207</v>
      </c>
      <c r="B27" s="31" t="s">
        <v>12</v>
      </c>
      <c r="C27" s="32">
        <v>0</v>
      </c>
      <c r="D27" s="32">
        <v>4</v>
      </c>
      <c r="E27" s="32">
        <v>360</v>
      </c>
      <c r="F27" s="33">
        <v>0</v>
      </c>
      <c r="G27" s="33">
        <v>0</v>
      </c>
      <c r="H27" s="33">
        <v>9</v>
      </c>
      <c r="I27" s="32">
        <v>12</v>
      </c>
      <c r="J27" s="32">
        <v>0</v>
      </c>
      <c r="K27" s="32">
        <v>32</v>
      </c>
      <c r="L27" s="32">
        <v>0</v>
      </c>
      <c r="M27" s="32">
        <v>0</v>
      </c>
      <c r="N27" s="32">
        <v>0</v>
      </c>
      <c r="O27" s="32">
        <v>6</v>
      </c>
      <c r="P27" s="34">
        <f t="shared" si="0"/>
        <v>423</v>
      </c>
    </row>
    <row r="28" spans="1:16" ht="15.75" customHeight="1" x14ac:dyDescent="0.15">
      <c r="A28" s="37" t="s">
        <v>207</v>
      </c>
      <c r="B28" s="31" t="s">
        <v>13</v>
      </c>
      <c r="C28" s="32">
        <v>0</v>
      </c>
      <c r="D28" s="32">
        <v>6</v>
      </c>
      <c r="E28" s="32">
        <v>493</v>
      </c>
      <c r="F28" s="33">
        <v>0</v>
      </c>
      <c r="G28" s="33">
        <v>1</v>
      </c>
      <c r="H28" s="33">
        <v>5</v>
      </c>
      <c r="I28" s="32">
        <v>16</v>
      </c>
      <c r="J28" s="32">
        <v>0</v>
      </c>
      <c r="K28" s="32">
        <v>62</v>
      </c>
      <c r="L28" s="32">
        <v>0</v>
      </c>
      <c r="M28" s="32">
        <v>0</v>
      </c>
      <c r="N28" s="32">
        <v>0</v>
      </c>
      <c r="O28" s="32">
        <v>11</v>
      </c>
      <c r="P28" s="34">
        <f t="shared" si="0"/>
        <v>594</v>
      </c>
    </row>
    <row r="29" spans="1:16" ht="15.75" customHeight="1" x14ac:dyDescent="0.15">
      <c r="A29" s="37" t="s">
        <v>207</v>
      </c>
      <c r="B29" s="31" t="s">
        <v>14</v>
      </c>
      <c r="C29" s="32">
        <v>0</v>
      </c>
      <c r="D29" s="32">
        <v>2</v>
      </c>
      <c r="E29" s="32">
        <v>490</v>
      </c>
      <c r="F29" s="33">
        <v>0</v>
      </c>
      <c r="G29" s="33">
        <v>1</v>
      </c>
      <c r="H29" s="33">
        <v>1</v>
      </c>
      <c r="I29" s="32">
        <v>8</v>
      </c>
      <c r="J29" s="32">
        <v>0</v>
      </c>
      <c r="K29" s="32">
        <v>38</v>
      </c>
      <c r="L29" s="32">
        <v>0</v>
      </c>
      <c r="M29" s="32">
        <v>5</v>
      </c>
      <c r="N29" s="32">
        <v>1</v>
      </c>
      <c r="O29" s="32">
        <v>7</v>
      </c>
      <c r="P29" s="34">
        <f t="shared" si="0"/>
        <v>553</v>
      </c>
    </row>
    <row r="30" spans="1:16" ht="15.75" customHeight="1" x14ac:dyDescent="0.15">
      <c r="A30" s="37" t="s">
        <v>207</v>
      </c>
      <c r="B30" s="31" t="s">
        <v>15</v>
      </c>
      <c r="C30" s="32">
        <v>0</v>
      </c>
      <c r="D30" s="32">
        <v>2</v>
      </c>
      <c r="E30" s="32">
        <v>549</v>
      </c>
      <c r="F30" s="33">
        <v>0</v>
      </c>
      <c r="G30" s="33">
        <v>0</v>
      </c>
      <c r="H30" s="33">
        <v>2</v>
      </c>
      <c r="I30" s="32">
        <v>3</v>
      </c>
      <c r="J30" s="32">
        <v>0</v>
      </c>
      <c r="K30" s="32">
        <v>47</v>
      </c>
      <c r="L30" s="32">
        <v>0</v>
      </c>
      <c r="M30" s="32">
        <v>4</v>
      </c>
      <c r="N30" s="32">
        <v>0</v>
      </c>
      <c r="O30" s="32">
        <v>0</v>
      </c>
      <c r="P30" s="34">
        <f t="shared" si="0"/>
        <v>607</v>
      </c>
    </row>
    <row r="31" spans="1:16" ht="15.75" customHeight="1" x14ac:dyDescent="0.15">
      <c r="A31" s="37" t="s">
        <v>208</v>
      </c>
      <c r="B31" s="31" t="s">
        <v>199</v>
      </c>
      <c r="C31" s="32">
        <v>0</v>
      </c>
      <c r="D31" s="32">
        <v>8</v>
      </c>
      <c r="E31" s="32">
        <v>880</v>
      </c>
      <c r="F31" s="33">
        <v>0</v>
      </c>
      <c r="G31" s="33">
        <v>0</v>
      </c>
      <c r="H31" s="33">
        <v>0</v>
      </c>
      <c r="I31" s="32">
        <v>4</v>
      </c>
      <c r="J31" s="32">
        <v>0</v>
      </c>
      <c r="K31" s="32">
        <v>39</v>
      </c>
      <c r="L31" s="32">
        <v>0</v>
      </c>
      <c r="M31" s="32">
        <v>1</v>
      </c>
      <c r="N31" s="32">
        <v>0</v>
      </c>
      <c r="O31" s="32">
        <v>1</v>
      </c>
      <c r="P31" s="34">
        <f t="shared" si="0"/>
        <v>933</v>
      </c>
    </row>
    <row r="32" spans="1:16" ht="15.75" customHeight="1" x14ac:dyDescent="0.15">
      <c r="A32" s="37" t="s">
        <v>209</v>
      </c>
      <c r="B32" s="31" t="s">
        <v>18</v>
      </c>
      <c r="C32" s="54">
        <v>0</v>
      </c>
      <c r="D32" s="54">
        <v>2</v>
      </c>
      <c r="E32" s="54">
        <v>578</v>
      </c>
      <c r="F32" s="54">
        <v>0</v>
      </c>
      <c r="G32" s="54">
        <v>1</v>
      </c>
      <c r="H32" s="54">
        <v>0</v>
      </c>
      <c r="I32" s="54">
        <v>1</v>
      </c>
      <c r="J32" s="54">
        <v>0</v>
      </c>
      <c r="K32" s="54">
        <v>19</v>
      </c>
      <c r="L32" s="54">
        <v>0</v>
      </c>
      <c r="M32" s="54">
        <v>0</v>
      </c>
      <c r="N32" s="54">
        <v>0</v>
      </c>
      <c r="O32" s="54">
        <v>2</v>
      </c>
      <c r="P32" s="34">
        <f t="shared" ref="P32:P34" si="1">SUM(C32:O32)</f>
        <v>603</v>
      </c>
    </row>
    <row r="33" spans="1:16" x14ac:dyDescent="0.15">
      <c r="A33" s="37" t="s">
        <v>210</v>
      </c>
      <c r="B33" s="31" t="s">
        <v>19</v>
      </c>
      <c r="C33" s="54">
        <v>0</v>
      </c>
      <c r="D33" s="54">
        <v>19</v>
      </c>
      <c r="E33" s="54">
        <v>615</v>
      </c>
      <c r="F33" s="54">
        <v>0</v>
      </c>
      <c r="G33" s="54">
        <v>0</v>
      </c>
      <c r="H33" s="54">
        <v>0</v>
      </c>
      <c r="I33" s="54">
        <v>1</v>
      </c>
      <c r="J33" s="54">
        <v>0</v>
      </c>
      <c r="K33" s="54">
        <v>32</v>
      </c>
      <c r="L33" s="54">
        <v>0</v>
      </c>
      <c r="M33" s="54">
        <v>0</v>
      </c>
      <c r="N33" s="54">
        <v>0</v>
      </c>
      <c r="O33" s="54">
        <v>3</v>
      </c>
      <c r="P33" s="34">
        <f t="shared" si="1"/>
        <v>670</v>
      </c>
    </row>
    <row r="34" spans="1:16" x14ac:dyDescent="0.15">
      <c r="A34" s="37" t="s">
        <v>211</v>
      </c>
      <c r="B34" s="31" t="s">
        <v>64</v>
      </c>
      <c r="C34" s="54">
        <v>0</v>
      </c>
      <c r="D34" s="54">
        <v>6</v>
      </c>
      <c r="E34" s="54">
        <v>893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21</v>
      </c>
      <c r="L34" s="54">
        <v>0</v>
      </c>
      <c r="M34" s="54">
        <v>0</v>
      </c>
      <c r="N34" s="54">
        <v>0</v>
      </c>
      <c r="O34" s="54">
        <v>0</v>
      </c>
      <c r="P34" s="34">
        <f t="shared" si="1"/>
        <v>920</v>
      </c>
    </row>
    <row r="35" spans="1:16" ht="17.25" thickBot="1" x14ac:dyDescent="0.2">
      <c r="A35" s="44" t="s">
        <v>200</v>
      </c>
      <c r="B35" s="45"/>
      <c r="C35" s="35">
        <f>SUM(C5:C34)</f>
        <v>3</v>
      </c>
      <c r="D35" s="35">
        <f t="shared" ref="D35:O35" si="2">SUM(D5:D34)</f>
        <v>99</v>
      </c>
      <c r="E35" s="35">
        <f t="shared" si="2"/>
        <v>9553</v>
      </c>
      <c r="F35" s="35">
        <f t="shared" si="2"/>
        <v>0</v>
      </c>
      <c r="G35" s="35">
        <f t="shared" si="2"/>
        <v>146</v>
      </c>
      <c r="H35" s="35">
        <f t="shared" si="2"/>
        <v>220</v>
      </c>
      <c r="I35" s="35">
        <f t="shared" si="2"/>
        <v>154</v>
      </c>
      <c r="J35" s="35">
        <f t="shared" si="2"/>
        <v>5</v>
      </c>
      <c r="K35" s="35">
        <f t="shared" si="2"/>
        <v>1181</v>
      </c>
      <c r="L35" s="35">
        <f t="shared" si="2"/>
        <v>0</v>
      </c>
      <c r="M35" s="35">
        <f t="shared" si="2"/>
        <v>162</v>
      </c>
      <c r="N35" s="35">
        <f t="shared" si="2"/>
        <v>1</v>
      </c>
      <c r="O35" s="35">
        <f t="shared" si="2"/>
        <v>49</v>
      </c>
      <c r="P35" s="36">
        <f>SUM(P5:P34)</f>
        <v>11573</v>
      </c>
    </row>
  </sheetData>
  <mergeCells count="5">
    <mergeCell ref="A1:P1"/>
    <mergeCell ref="C2:E2"/>
    <mergeCell ref="A3:A4"/>
    <mergeCell ref="B3:B4"/>
    <mergeCell ref="A35:B3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zoomScale="85" zoomScaleNormal="85" workbookViewId="0">
      <selection sqref="A1:P1"/>
    </sheetView>
  </sheetViews>
  <sheetFormatPr defaultRowHeight="13.5" x14ac:dyDescent="0.15"/>
  <cols>
    <col min="1" max="14" width="8.88671875" style="1"/>
    <col min="15" max="15" width="14.33203125" style="1" customWidth="1"/>
    <col min="16" max="16384" width="8.88671875" style="1"/>
  </cols>
  <sheetData>
    <row r="1" spans="1:16" ht="18.75" x14ac:dyDescent="0.15">
      <c r="A1" s="48" t="s">
        <v>154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x14ac:dyDescent="0.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5" t="s">
        <v>65</v>
      </c>
    </row>
    <row r="3" spans="1:16" x14ac:dyDescent="0.15">
      <c r="A3" s="4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155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37</v>
      </c>
      <c r="M3" s="6" t="s">
        <v>141</v>
      </c>
      <c r="N3" s="6" t="s">
        <v>38</v>
      </c>
      <c r="O3" s="11" t="s">
        <v>158</v>
      </c>
      <c r="P3" s="6" t="s">
        <v>67</v>
      </c>
    </row>
    <row r="4" spans="1:16" s="10" customFormat="1" ht="27" x14ac:dyDescent="0.15">
      <c r="A4" s="47"/>
      <c r="B4" s="7" t="s">
        <v>146</v>
      </c>
      <c r="C4" s="7" t="s">
        <v>39</v>
      </c>
      <c r="D4" s="7" t="s">
        <v>40</v>
      </c>
      <c r="E4" s="7" t="s">
        <v>147</v>
      </c>
      <c r="F4" s="7" t="s">
        <v>41</v>
      </c>
      <c r="G4" s="7" t="s">
        <v>156</v>
      </c>
      <c r="H4" s="7" t="s">
        <v>42</v>
      </c>
      <c r="I4" s="7" t="s">
        <v>43</v>
      </c>
      <c r="J4" s="7" t="s">
        <v>44</v>
      </c>
      <c r="K4" s="7" t="s">
        <v>45</v>
      </c>
      <c r="L4" s="7" t="s">
        <v>46</v>
      </c>
      <c r="M4" s="7" t="s">
        <v>142</v>
      </c>
      <c r="N4" s="7" t="s">
        <v>153</v>
      </c>
      <c r="O4" s="7" t="s">
        <v>157</v>
      </c>
      <c r="P4" s="7" t="s">
        <v>67</v>
      </c>
    </row>
    <row r="5" spans="1:16" x14ac:dyDescent="0.15">
      <c r="A5" s="4" t="s">
        <v>70</v>
      </c>
      <c r="B5" s="4">
        <v>0</v>
      </c>
      <c r="C5" s="4">
        <v>0</v>
      </c>
      <c r="D5" s="4">
        <v>30</v>
      </c>
      <c r="E5" s="4">
        <v>0</v>
      </c>
      <c r="F5" s="4">
        <v>5</v>
      </c>
      <c r="G5" s="4">
        <v>0</v>
      </c>
      <c r="H5" s="4">
        <v>0</v>
      </c>
      <c r="I5" s="4">
        <v>0</v>
      </c>
      <c r="J5" s="4">
        <v>3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f>SUM(B5:O5)</f>
        <v>38</v>
      </c>
    </row>
    <row r="6" spans="1:16" x14ac:dyDescent="0.15">
      <c r="A6" s="4" t="s">
        <v>5</v>
      </c>
      <c r="B6" s="4">
        <v>0</v>
      </c>
      <c r="C6" s="4">
        <v>1</v>
      </c>
      <c r="D6" s="4">
        <v>64</v>
      </c>
      <c r="E6" s="4">
        <v>0</v>
      </c>
      <c r="F6" s="4">
        <v>9</v>
      </c>
      <c r="G6" s="4">
        <v>0</v>
      </c>
      <c r="H6" s="4">
        <v>0</v>
      </c>
      <c r="I6" s="4">
        <v>1</v>
      </c>
      <c r="J6" s="4">
        <v>12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f t="shared" ref="P6:P33" si="0">SUM(B6:O6)</f>
        <v>87</v>
      </c>
    </row>
    <row r="7" spans="1:16" x14ac:dyDescent="0.15">
      <c r="A7" s="4" t="s">
        <v>6</v>
      </c>
      <c r="B7" s="4">
        <v>0</v>
      </c>
      <c r="C7" s="4">
        <v>0</v>
      </c>
      <c r="D7" s="4">
        <v>94</v>
      </c>
      <c r="E7" s="4">
        <v>0</v>
      </c>
      <c r="F7" s="4">
        <v>6</v>
      </c>
      <c r="G7" s="4">
        <v>0</v>
      </c>
      <c r="H7" s="4">
        <v>0</v>
      </c>
      <c r="I7" s="4">
        <v>0</v>
      </c>
      <c r="J7" s="4">
        <v>17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f t="shared" si="0"/>
        <v>117</v>
      </c>
    </row>
    <row r="8" spans="1:16" x14ac:dyDescent="0.15">
      <c r="A8" s="4" t="s">
        <v>7</v>
      </c>
      <c r="B8" s="4">
        <v>0</v>
      </c>
      <c r="C8" s="4">
        <v>0</v>
      </c>
      <c r="D8" s="4">
        <v>120</v>
      </c>
      <c r="E8" s="4">
        <v>0</v>
      </c>
      <c r="F8" s="4">
        <v>13</v>
      </c>
      <c r="G8" s="4">
        <v>0</v>
      </c>
      <c r="H8" s="4">
        <v>0</v>
      </c>
      <c r="I8" s="4">
        <v>2</v>
      </c>
      <c r="J8" s="4">
        <v>28</v>
      </c>
      <c r="K8" s="4">
        <v>0</v>
      </c>
      <c r="L8" s="4">
        <v>3</v>
      </c>
      <c r="M8" s="4">
        <v>0</v>
      </c>
      <c r="N8" s="4">
        <v>0</v>
      </c>
      <c r="O8" s="4">
        <v>0</v>
      </c>
      <c r="P8" s="4">
        <f t="shared" si="0"/>
        <v>166</v>
      </c>
    </row>
    <row r="9" spans="1:16" x14ac:dyDescent="0.15">
      <c r="A9" s="4" t="s">
        <v>58</v>
      </c>
      <c r="B9" s="4">
        <v>0</v>
      </c>
      <c r="C9" s="4">
        <v>0</v>
      </c>
      <c r="D9" s="4">
        <v>114</v>
      </c>
      <c r="E9" s="4">
        <v>0</v>
      </c>
      <c r="F9" s="4">
        <v>4</v>
      </c>
      <c r="G9" s="4">
        <v>0</v>
      </c>
      <c r="H9" s="4">
        <v>0</v>
      </c>
      <c r="I9" s="4">
        <v>1</v>
      </c>
      <c r="J9" s="4">
        <v>15</v>
      </c>
      <c r="K9" s="4">
        <v>0</v>
      </c>
      <c r="L9" s="4">
        <v>10</v>
      </c>
      <c r="M9" s="4">
        <v>0</v>
      </c>
      <c r="N9" s="4">
        <v>1</v>
      </c>
      <c r="O9" s="4">
        <v>0</v>
      </c>
      <c r="P9" s="4">
        <f t="shared" si="0"/>
        <v>145</v>
      </c>
    </row>
    <row r="10" spans="1:16" x14ac:dyDescent="0.15">
      <c r="A10" s="4" t="s">
        <v>72</v>
      </c>
      <c r="B10" s="4">
        <v>0</v>
      </c>
      <c r="C10" s="4">
        <v>0</v>
      </c>
      <c r="D10" s="4">
        <v>176</v>
      </c>
      <c r="E10" s="4">
        <v>0</v>
      </c>
      <c r="F10" s="4">
        <v>5</v>
      </c>
      <c r="G10" s="4">
        <v>1</v>
      </c>
      <c r="H10" s="4">
        <v>1</v>
      </c>
      <c r="I10" s="4">
        <v>3</v>
      </c>
      <c r="J10" s="4">
        <v>28</v>
      </c>
      <c r="K10" s="4">
        <v>0</v>
      </c>
      <c r="L10" s="4">
        <v>15</v>
      </c>
      <c r="M10" s="4">
        <v>0</v>
      </c>
      <c r="N10" s="4">
        <v>0</v>
      </c>
      <c r="O10" s="4">
        <v>0</v>
      </c>
      <c r="P10" s="4">
        <f t="shared" si="0"/>
        <v>229</v>
      </c>
    </row>
    <row r="11" spans="1:16" x14ac:dyDescent="0.15">
      <c r="A11" s="4" t="s">
        <v>73</v>
      </c>
      <c r="B11" s="4">
        <v>0</v>
      </c>
      <c r="C11" s="4">
        <v>0</v>
      </c>
      <c r="D11" s="4">
        <v>188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19</v>
      </c>
      <c r="K11" s="4">
        <v>0</v>
      </c>
      <c r="L11" s="4">
        <v>9</v>
      </c>
      <c r="M11" s="4">
        <v>0</v>
      </c>
      <c r="N11" s="4">
        <v>0</v>
      </c>
      <c r="O11" s="4">
        <v>0</v>
      </c>
      <c r="P11" s="4">
        <f t="shared" si="0"/>
        <v>216</v>
      </c>
    </row>
    <row r="12" spans="1:16" x14ac:dyDescent="0.15">
      <c r="A12" s="4" t="s">
        <v>74</v>
      </c>
      <c r="B12" s="4">
        <v>0</v>
      </c>
      <c r="C12" s="4">
        <v>1</v>
      </c>
      <c r="D12" s="4">
        <v>334</v>
      </c>
      <c r="E12" s="4">
        <v>0</v>
      </c>
      <c r="F12" s="4">
        <v>0</v>
      </c>
      <c r="G12" s="4">
        <v>4</v>
      </c>
      <c r="H12" s="4">
        <v>2</v>
      </c>
      <c r="I12" s="4">
        <v>0</v>
      </c>
      <c r="J12" s="4">
        <v>32</v>
      </c>
      <c r="K12" s="4">
        <v>0</v>
      </c>
      <c r="L12" s="4">
        <v>15</v>
      </c>
      <c r="M12" s="4">
        <v>0</v>
      </c>
      <c r="N12" s="4">
        <v>0</v>
      </c>
      <c r="O12" s="4">
        <v>0</v>
      </c>
      <c r="P12" s="4">
        <f t="shared" si="0"/>
        <v>388</v>
      </c>
    </row>
    <row r="13" spans="1:16" x14ac:dyDescent="0.15">
      <c r="A13" s="4" t="s">
        <v>59</v>
      </c>
      <c r="B13" s="4">
        <v>0</v>
      </c>
      <c r="C13" s="4">
        <v>0</v>
      </c>
      <c r="D13" s="4">
        <v>225</v>
      </c>
      <c r="E13" s="4">
        <v>0</v>
      </c>
      <c r="F13" s="4">
        <v>1</v>
      </c>
      <c r="G13" s="4">
        <v>28</v>
      </c>
      <c r="H13" s="4">
        <v>1</v>
      </c>
      <c r="I13" s="4">
        <v>0</v>
      </c>
      <c r="J13" s="4">
        <v>11</v>
      </c>
      <c r="K13" s="4">
        <v>0</v>
      </c>
      <c r="L13" s="4">
        <v>5</v>
      </c>
      <c r="M13" s="4">
        <v>0</v>
      </c>
      <c r="N13" s="4">
        <v>0</v>
      </c>
      <c r="O13" s="4">
        <v>0</v>
      </c>
      <c r="P13" s="4">
        <f t="shared" si="0"/>
        <v>271</v>
      </c>
    </row>
    <row r="14" spans="1:16" x14ac:dyDescent="0.15">
      <c r="A14" s="4" t="s">
        <v>76</v>
      </c>
      <c r="B14" s="4">
        <v>0</v>
      </c>
      <c r="C14" s="4">
        <v>2</v>
      </c>
      <c r="D14" s="4">
        <v>259</v>
      </c>
      <c r="E14" s="4">
        <v>0</v>
      </c>
      <c r="F14" s="4">
        <v>0</v>
      </c>
      <c r="G14" s="4">
        <v>28</v>
      </c>
      <c r="H14" s="4">
        <v>15</v>
      </c>
      <c r="I14" s="4">
        <v>0</v>
      </c>
      <c r="J14" s="4">
        <v>31</v>
      </c>
      <c r="K14" s="4">
        <v>0</v>
      </c>
      <c r="L14" s="4">
        <v>26</v>
      </c>
      <c r="M14" s="4">
        <v>0</v>
      </c>
      <c r="N14" s="4">
        <v>0</v>
      </c>
      <c r="O14" s="4">
        <v>1</v>
      </c>
      <c r="P14" s="4">
        <f t="shared" si="0"/>
        <v>362</v>
      </c>
    </row>
    <row r="15" spans="1:16" x14ac:dyDescent="0.15">
      <c r="A15" s="4" t="s">
        <v>60</v>
      </c>
      <c r="B15" s="4">
        <v>0</v>
      </c>
      <c r="C15" s="4">
        <v>3</v>
      </c>
      <c r="D15" s="4">
        <v>245</v>
      </c>
      <c r="E15" s="4">
        <v>0</v>
      </c>
      <c r="F15" s="4">
        <v>1</v>
      </c>
      <c r="G15" s="4">
        <v>13</v>
      </c>
      <c r="H15" s="4">
        <v>10</v>
      </c>
      <c r="I15" s="4">
        <v>0</v>
      </c>
      <c r="J15" s="4">
        <v>33</v>
      </c>
      <c r="K15" s="4">
        <v>0</v>
      </c>
      <c r="L15" s="4">
        <v>11</v>
      </c>
      <c r="M15" s="4">
        <v>0</v>
      </c>
      <c r="N15" s="4">
        <v>1</v>
      </c>
      <c r="O15" s="4">
        <v>0</v>
      </c>
      <c r="P15" s="4">
        <f t="shared" si="0"/>
        <v>317</v>
      </c>
    </row>
    <row r="16" spans="1:16" x14ac:dyDescent="0.15">
      <c r="A16" s="4" t="s">
        <v>61</v>
      </c>
      <c r="B16" s="4">
        <v>0</v>
      </c>
      <c r="C16" s="4">
        <v>2</v>
      </c>
      <c r="D16" s="4">
        <v>225</v>
      </c>
      <c r="E16" s="4">
        <v>0</v>
      </c>
      <c r="F16" s="4">
        <v>2</v>
      </c>
      <c r="G16" s="4">
        <v>7</v>
      </c>
      <c r="H16" s="4">
        <v>21</v>
      </c>
      <c r="I16" s="4">
        <v>1</v>
      </c>
      <c r="J16" s="4">
        <v>38</v>
      </c>
      <c r="K16" s="4">
        <v>0</v>
      </c>
      <c r="L16" s="4">
        <v>22</v>
      </c>
      <c r="M16" s="4">
        <v>0</v>
      </c>
      <c r="N16" s="4">
        <v>0</v>
      </c>
      <c r="O16" s="4">
        <v>0</v>
      </c>
      <c r="P16" s="4">
        <f t="shared" si="0"/>
        <v>318</v>
      </c>
    </row>
    <row r="17" spans="1:16" x14ac:dyDescent="0.15">
      <c r="A17" s="4" t="s">
        <v>62</v>
      </c>
      <c r="B17" s="4">
        <v>0</v>
      </c>
      <c r="C17" s="4">
        <v>2</v>
      </c>
      <c r="D17" s="4">
        <v>322</v>
      </c>
      <c r="E17" s="4">
        <v>0</v>
      </c>
      <c r="F17" s="4">
        <v>1</v>
      </c>
      <c r="G17" s="4">
        <v>13</v>
      </c>
      <c r="H17" s="4">
        <v>8</v>
      </c>
      <c r="I17" s="4">
        <v>0</v>
      </c>
      <c r="J17" s="4">
        <v>33</v>
      </c>
      <c r="K17" s="4">
        <v>0</v>
      </c>
      <c r="L17" s="4">
        <v>23</v>
      </c>
      <c r="M17" s="4">
        <v>0</v>
      </c>
      <c r="N17" s="4">
        <v>1</v>
      </c>
      <c r="O17" s="4">
        <v>0</v>
      </c>
      <c r="P17" s="4">
        <f t="shared" si="0"/>
        <v>403</v>
      </c>
    </row>
    <row r="18" spans="1:16" x14ac:dyDescent="0.15">
      <c r="A18" s="4" t="s">
        <v>8</v>
      </c>
      <c r="B18" s="4">
        <v>0</v>
      </c>
      <c r="C18" s="4">
        <v>1</v>
      </c>
      <c r="D18" s="4">
        <v>261</v>
      </c>
      <c r="E18" s="4">
        <v>0</v>
      </c>
      <c r="F18" s="4">
        <v>4</v>
      </c>
      <c r="G18" s="4">
        <v>5</v>
      </c>
      <c r="H18" s="4">
        <v>20</v>
      </c>
      <c r="I18" s="4">
        <v>0</v>
      </c>
      <c r="J18" s="4">
        <v>34</v>
      </c>
      <c r="K18" s="4">
        <v>0</v>
      </c>
      <c r="L18" s="4">
        <v>2</v>
      </c>
      <c r="M18" s="4">
        <v>0</v>
      </c>
      <c r="N18" s="4">
        <v>1</v>
      </c>
      <c r="O18" s="4">
        <v>0</v>
      </c>
      <c r="P18" s="4">
        <f t="shared" si="0"/>
        <v>328</v>
      </c>
    </row>
    <row r="19" spans="1:16" x14ac:dyDescent="0.15">
      <c r="A19" s="4" t="s">
        <v>9</v>
      </c>
      <c r="B19" s="4">
        <v>0</v>
      </c>
      <c r="C19" s="4">
        <v>0</v>
      </c>
      <c r="D19" s="4">
        <v>134</v>
      </c>
      <c r="E19" s="4">
        <v>0</v>
      </c>
      <c r="F19" s="4">
        <v>0</v>
      </c>
      <c r="G19" s="4">
        <v>1</v>
      </c>
      <c r="H19" s="4">
        <v>8</v>
      </c>
      <c r="I19" s="4">
        <v>0</v>
      </c>
      <c r="J19" s="4">
        <v>3</v>
      </c>
      <c r="K19" s="4">
        <v>0</v>
      </c>
      <c r="L19" s="4">
        <v>1</v>
      </c>
      <c r="M19" s="4">
        <v>0</v>
      </c>
      <c r="N19" s="4">
        <v>1</v>
      </c>
      <c r="O19" s="4">
        <v>0</v>
      </c>
      <c r="P19" s="4">
        <f t="shared" si="0"/>
        <v>148</v>
      </c>
    </row>
    <row r="20" spans="1:16" x14ac:dyDescent="0.15">
      <c r="A20" s="4" t="s">
        <v>10</v>
      </c>
      <c r="B20" s="4">
        <v>0</v>
      </c>
      <c r="C20" s="4">
        <v>34</v>
      </c>
      <c r="D20" s="4">
        <v>244</v>
      </c>
      <c r="E20" s="4">
        <v>0</v>
      </c>
      <c r="F20" s="4">
        <v>0</v>
      </c>
      <c r="G20" s="4">
        <v>6</v>
      </c>
      <c r="H20" s="4">
        <v>15</v>
      </c>
      <c r="I20" s="4">
        <v>3</v>
      </c>
      <c r="J20" s="4">
        <v>42</v>
      </c>
      <c r="K20" s="4">
        <v>0</v>
      </c>
      <c r="L20" s="4">
        <v>35</v>
      </c>
      <c r="M20" s="4">
        <v>0</v>
      </c>
      <c r="N20" s="4">
        <v>3</v>
      </c>
      <c r="O20" s="4">
        <v>0</v>
      </c>
      <c r="P20" s="4">
        <f t="shared" si="0"/>
        <v>382</v>
      </c>
    </row>
    <row r="21" spans="1:16" x14ac:dyDescent="0.15">
      <c r="A21" s="4" t="s">
        <v>11</v>
      </c>
      <c r="B21" s="4">
        <v>0</v>
      </c>
      <c r="C21" s="4">
        <v>15</v>
      </c>
      <c r="D21" s="4">
        <v>254</v>
      </c>
      <c r="E21" s="4">
        <v>0</v>
      </c>
      <c r="F21" s="4">
        <v>0</v>
      </c>
      <c r="G21" s="4">
        <v>7</v>
      </c>
      <c r="H21" s="4">
        <v>11</v>
      </c>
      <c r="I21" s="4">
        <v>0</v>
      </c>
      <c r="J21" s="4">
        <v>42</v>
      </c>
      <c r="K21" s="4">
        <v>0</v>
      </c>
      <c r="L21" s="4">
        <v>4</v>
      </c>
      <c r="M21" s="4">
        <v>0</v>
      </c>
      <c r="N21" s="4">
        <v>0</v>
      </c>
      <c r="O21" s="4">
        <v>0</v>
      </c>
      <c r="P21" s="4">
        <f t="shared" si="0"/>
        <v>333</v>
      </c>
    </row>
    <row r="22" spans="1:16" x14ac:dyDescent="0.15">
      <c r="A22" s="4" t="s">
        <v>119</v>
      </c>
      <c r="B22" s="4">
        <v>0</v>
      </c>
      <c r="C22" s="4">
        <v>12</v>
      </c>
      <c r="D22" s="4">
        <v>338</v>
      </c>
      <c r="E22" s="4">
        <v>0</v>
      </c>
      <c r="F22" s="4">
        <v>0</v>
      </c>
      <c r="G22" s="4">
        <v>5</v>
      </c>
      <c r="H22" s="4">
        <v>6</v>
      </c>
      <c r="I22" s="4">
        <v>3</v>
      </c>
      <c r="J22" s="4">
        <v>18</v>
      </c>
      <c r="K22" s="4">
        <v>0</v>
      </c>
      <c r="L22" s="4">
        <v>14</v>
      </c>
      <c r="M22" s="4">
        <v>0</v>
      </c>
      <c r="N22" s="4">
        <v>4</v>
      </c>
      <c r="O22" s="4">
        <v>0</v>
      </c>
      <c r="P22" s="4">
        <f t="shared" si="0"/>
        <v>400</v>
      </c>
    </row>
    <row r="23" spans="1:16" x14ac:dyDescent="0.15">
      <c r="A23" s="4" t="s">
        <v>12</v>
      </c>
      <c r="B23" s="4">
        <v>0</v>
      </c>
      <c r="C23" s="4">
        <v>1</v>
      </c>
      <c r="D23" s="4">
        <v>370</v>
      </c>
      <c r="E23" s="4">
        <v>0</v>
      </c>
      <c r="F23" s="4">
        <v>1</v>
      </c>
      <c r="G23" s="4">
        <v>5</v>
      </c>
      <c r="H23" s="4">
        <v>6</v>
      </c>
      <c r="I23" s="4">
        <v>0</v>
      </c>
      <c r="J23" s="4">
        <v>8</v>
      </c>
      <c r="K23" s="4">
        <v>0</v>
      </c>
      <c r="L23" s="4">
        <v>0</v>
      </c>
      <c r="M23" s="4">
        <v>0</v>
      </c>
      <c r="N23" s="4">
        <v>1</v>
      </c>
      <c r="O23" s="4">
        <v>0</v>
      </c>
      <c r="P23" s="4">
        <f t="shared" si="0"/>
        <v>392</v>
      </c>
    </row>
    <row r="24" spans="1:16" x14ac:dyDescent="0.15">
      <c r="A24" s="4" t="s">
        <v>13</v>
      </c>
      <c r="B24" s="4">
        <v>0</v>
      </c>
      <c r="C24" s="4">
        <v>1</v>
      </c>
      <c r="D24" s="4">
        <v>323</v>
      </c>
      <c r="E24" s="4">
        <v>0</v>
      </c>
      <c r="F24" s="4">
        <v>0</v>
      </c>
      <c r="G24" s="4">
        <v>4</v>
      </c>
      <c r="H24" s="4">
        <v>11</v>
      </c>
      <c r="I24" s="4">
        <v>0</v>
      </c>
      <c r="J24" s="4">
        <v>32</v>
      </c>
      <c r="K24" s="4">
        <v>0</v>
      </c>
      <c r="L24" s="4">
        <v>5</v>
      </c>
      <c r="M24" s="4">
        <v>0</v>
      </c>
      <c r="N24" s="4">
        <v>4</v>
      </c>
      <c r="O24" s="4">
        <v>0</v>
      </c>
      <c r="P24" s="4">
        <f t="shared" si="0"/>
        <v>380</v>
      </c>
    </row>
    <row r="25" spans="1:16" x14ac:dyDescent="0.15">
      <c r="A25" s="4" t="s">
        <v>14</v>
      </c>
      <c r="B25" s="4">
        <v>0</v>
      </c>
      <c r="C25" s="4">
        <v>3</v>
      </c>
      <c r="D25" s="4">
        <v>426</v>
      </c>
      <c r="E25" s="4">
        <v>0</v>
      </c>
      <c r="F25" s="4">
        <v>0</v>
      </c>
      <c r="G25" s="4">
        <v>3</v>
      </c>
      <c r="H25" s="4">
        <v>7</v>
      </c>
      <c r="I25" s="4">
        <v>2</v>
      </c>
      <c r="J25" s="4">
        <v>23</v>
      </c>
      <c r="K25" s="4">
        <v>0</v>
      </c>
      <c r="L25" s="4">
        <v>3</v>
      </c>
      <c r="M25" s="4">
        <v>0</v>
      </c>
      <c r="N25" s="4">
        <v>3</v>
      </c>
      <c r="O25" s="4">
        <v>0</v>
      </c>
      <c r="P25" s="4">
        <f t="shared" si="0"/>
        <v>470</v>
      </c>
    </row>
    <row r="26" spans="1:16" x14ac:dyDescent="0.15">
      <c r="A26" s="4" t="s">
        <v>15</v>
      </c>
      <c r="B26" s="4">
        <v>1</v>
      </c>
      <c r="C26" s="4">
        <v>8</v>
      </c>
      <c r="D26" s="4">
        <v>468</v>
      </c>
      <c r="E26" s="4">
        <v>0</v>
      </c>
      <c r="F26" s="4">
        <v>0</v>
      </c>
      <c r="G26" s="4">
        <v>0</v>
      </c>
      <c r="H26" s="4">
        <v>3</v>
      </c>
      <c r="I26" s="4">
        <v>1</v>
      </c>
      <c r="J26" s="4">
        <v>47</v>
      </c>
      <c r="K26" s="4">
        <v>0</v>
      </c>
      <c r="L26" s="4">
        <v>1</v>
      </c>
      <c r="M26" s="4">
        <v>3</v>
      </c>
      <c r="N26" s="4">
        <v>5</v>
      </c>
      <c r="O26" s="4">
        <v>0</v>
      </c>
      <c r="P26" s="4">
        <f t="shared" si="0"/>
        <v>537</v>
      </c>
    </row>
    <row r="27" spans="1:16" x14ac:dyDescent="0.15">
      <c r="A27" s="4" t="s">
        <v>16</v>
      </c>
      <c r="B27" s="4">
        <v>0</v>
      </c>
      <c r="C27" s="4">
        <v>3</v>
      </c>
      <c r="D27" s="4">
        <v>554</v>
      </c>
      <c r="E27" s="4">
        <v>0</v>
      </c>
      <c r="F27" s="4">
        <v>0</v>
      </c>
      <c r="G27" s="4">
        <v>0</v>
      </c>
      <c r="H27" s="4">
        <v>3</v>
      </c>
      <c r="I27" s="4">
        <v>0</v>
      </c>
      <c r="J27" s="4">
        <v>12</v>
      </c>
      <c r="K27" s="4">
        <v>0</v>
      </c>
      <c r="L27" s="4">
        <v>0</v>
      </c>
      <c r="M27" s="4">
        <v>0</v>
      </c>
      <c r="N27" s="4">
        <v>8</v>
      </c>
      <c r="O27" s="4">
        <v>0</v>
      </c>
      <c r="P27" s="4">
        <f t="shared" si="0"/>
        <v>580</v>
      </c>
    </row>
    <row r="28" spans="1:16" x14ac:dyDescent="0.15">
      <c r="A28" s="4" t="s">
        <v>17</v>
      </c>
      <c r="B28" s="4">
        <v>0</v>
      </c>
      <c r="C28" s="4">
        <v>1</v>
      </c>
      <c r="D28" s="4">
        <v>349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7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f t="shared" si="0"/>
        <v>357</v>
      </c>
    </row>
    <row r="29" spans="1:16" x14ac:dyDescent="0.15">
      <c r="A29" s="4" t="s">
        <v>18</v>
      </c>
      <c r="B29" s="4">
        <v>1</v>
      </c>
      <c r="C29" s="4">
        <v>0</v>
      </c>
      <c r="D29" s="4">
        <v>319</v>
      </c>
      <c r="E29" s="4">
        <v>0</v>
      </c>
      <c r="F29" s="4">
        <v>0</v>
      </c>
      <c r="G29" s="4">
        <v>1</v>
      </c>
      <c r="H29" s="4">
        <v>0</v>
      </c>
      <c r="I29" s="4">
        <v>0</v>
      </c>
      <c r="J29" s="4">
        <v>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f t="shared" si="0"/>
        <v>324</v>
      </c>
    </row>
    <row r="30" spans="1:16" x14ac:dyDescent="0.15">
      <c r="A30" s="4" t="s">
        <v>19</v>
      </c>
      <c r="B30" s="4">
        <v>0</v>
      </c>
      <c r="C30" s="4">
        <v>1</v>
      </c>
      <c r="D30" s="4">
        <v>389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f t="shared" si="0"/>
        <v>392</v>
      </c>
    </row>
    <row r="31" spans="1:16" x14ac:dyDescent="0.15">
      <c r="A31" s="4" t="s">
        <v>20</v>
      </c>
      <c r="B31" s="4">
        <v>0</v>
      </c>
      <c r="C31" s="4">
        <v>3</v>
      </c>
      <c r="D31" s="4">
        <v>600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7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f t="shared" si="0"/>
        <v>610</v>
      </c>
    </row>
    <row r="32" spans="1:16" x14ac:dyDescent="0.15">
      <c r="A32" s="4" t="s">
        <v>21</v>
      </c>
      <c r="B32" s="4">
        <v>0</v>
      </c>
      <c r="C32" s="4">
        <v>2</v>
      </c>
      <c r="D32" s="4">
        <v>532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3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f t="shared" si="0"/>
        <v>537</v>
      </c>
    </row>
    <row r="33" spans="1:16" x14ac:dyDescent="0.15">
      <c r="A33" s="4" t="s">
        <v>22</v>
      </c>
      <c r="B33" s="4">
        <v>0</v>
      </c>
      <c r="C33" s="4">
        <v>1</v>
      </c>
      <c r="D33" s="4">
        <v>230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f t="shared" si="0"/>
        <v>232</v>
      </c>
    </row>
    <row r="34" spans="1:16" x14ac:dyDescent="0.15">
      <c r="A34" s="15" t="s">
        <v>191</v>
      </c>
      <c r="B34" s="8">
        <f>SUM(B5:B33)</f>
        <v>2</v>
      </c>
      <c r="C34" s="8">
        <f t="shared" ref="C34:O34" si="1">SUM(C5:C33)</f>
        <v>97</v>
      </c>
      <c r="D34" s="8">
        <f t="shared" si="1"/>
        <v>8187</v>
      </c>
      <c r="E34" s="8">
        <f t="shared" si="1"/>
        <v>0</v>
      </c>
      <c r="F34" s="8">
        <f t="shared" si="1"/>
        <v>52</v>
      </c>
      <c r="G34" s="8">
        <f t="shared" si="1"/>
        <v>132</v>
      </c>
      <c r="H34" s="8">
        <f t="shared" si="1"/>
        <v>148</v>
      </c>
      <c r="I34" s="8">
        <f t="shared" si="1"/>
        <v>17</v>
      </c>
      <c r="J34" s="8">
        <f t="shared" si="1"/>
        <v>583</v>
      </c>
      <c r="K34" s="8">
        <f t="shared" si="1"/>
        <v>0</v>
      </c>
      <c r="L34" s="8">
        <f t="shared" si="1"/>
        <v>204</v>
      </c>
      <c r="M34" s="8">
        <f t="shared" si="1"/>
        <v>3</v>
      </c>
      <c r="N34" s="8">
        <f t="shared" si="1"/>
        <v>33</v>
      </c>
      <c r="O34" s="8">
        <f t="shared" si="1"/>
        <v>1</v>
      </c>
      <c r="P34" s="8">
        <f>SUM(P5:P33)</f>
        <v>9459</v>
      </c>
    </row>
  </sheetData>
  <mergeCells count="2">
    <mergeCell ref="A3:A4"/>
    <mergeCell ref="A1:P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zoomScale="85" zoomScaleNormal="85" workbookViewId="0">
      <selection sqref="A1:S1"/>
    </sheetView>
  </sheetViews>
  <sheetFormatPr defaultRowHeight="13.5" x14ac:dyDescent="0.15"/>
  <sheetData>
    <row r="1" spans="1:19" ht="18.75" x14ac:dyDescent="0.15">
      <c r="A1" s="48" t="s">
        <v>143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 t="s">
        <v>65</v>
      </c>
    </row>
    <row r="3" spans="1:19" ht="13.5" customHeight="1" x14ac:dyDescent="0.15">
      <c r="A3" s="4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144</v>
      </c>
      <c r="J3" s="6" t="s">
        <v>32</v>
      </c>
      <c r="K3" s="6" t="s">
        <v>145</v>
      </c>
      <c r="L3" s="6" t="s">
        <v>33</v>
      </c>
      <c r="M3" s="6" t="s">
        <v>34</v>
      </c>
      <c r="N3" s="6" t="s">
        <v>35</v>
      </c>
      <c r="O3" s="6" t="s">
        <v>36</v>
      </c>
      <c r="P3" s="6" t="s">
        <v>37</v>
      </c>
      <c r="Q3" s="6" t="s">
        <v>141</v>
      </c>
      <c r="R3" s="6" t="s">
        <v>38</v>
      </c>
      <c r="S3" s="6" t="s">
        <v>67</v>
      </c>
    </row>
    <row r="4" spans="1:19" s="2" customFormat="1" ht="40.5" x14ac:dyDescent="0.15">
      <c r="A4" s="47"/>
      <c r="B4" s="7" t="s">
        <v>146</v>
      </c>
      <c r="C4" s="7" t="s">
        <v>39</v>
      </c>
      <c r="D4" s="7" t="s">
        <v>40</v>
      </c>
      <c r="E4" s="7" t="s">
        <v>147</v>
      </c>
      <c r="F4" s="7" t="s">
        <v>41</v>
      </c>
      <c r="G4" s="7" t="s">
        <v>148</v>
      </c>
      <c r="H4" s="7" t="s">
        <v>149</v>
      </c>
      <c r="I4" s="7" t="s">
        <v>150</v>
      </c>
      <c r="J4" s="7" t="s">
        <v>151</v>
      </c>
      <c r="K4" s="7" t="s">
        <v>152</v>
      </c>
      <c r="L4" s="7" t="s">
        <v>42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142</v>
      </c>
      <c r="R4" s="7" t="s">
        <v>153</v>
      </c>
      <c r="S4" s="7" t="s">
        <v>67</v>
      </c>
    </row>
    <row r="5" spans="1:19" x14ac:dyDescent="0.15">
      <c r="A5" s="4" t="s">
        <v>70</v>
      </c>
      <c r="B5" s="4">
        <v>0</v>
      </c>
      <c r="C5" s="4">
        <v>0</v>
      </c>
      <c r="D5" s="4">
        <v>24</v>
      </c>
      <c r="E5" s="4">
        <v>0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7</v>
      </c>
      <c r="O5" s="4">
        <v>0</v>
      </c>
      <c r="P5" s="4">
        <v>0</v>
      </c>
      <c r="Q5" s="4">
        <v>0</v>
      </c>
      <c r="R5" s="4">
        <v>0</v>
      </c>
      <c r="S5" s="4">
        <f>SUM(B5:R5)</f>
        <v>32</v>
      </c>
    </row>
    <row r="6" spans="1:19" x14ac:dyDescent="0.15">
      <c r="A6" s="4" t="s">
        <v>5</v>
      </c>
      <c r="B6" s="4">
        <v>0</v>
      </c>
      <c r="C6" s="4">
        <v>1</v>
      </c>
      <c r="D6" s="4">
        <v>39</v>
      </c>
      <c r="E6" s="4">
        <v>0</v>
      </c>
      <c r="F6" s="4">
        <v>10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9</v>
      </c>
      <c r="O6" s="4">
        <v>0</v>
      </c>
      <c r="P6" s="4">
        <v>0</v>
      </c>
      <c r="Q6" s="4">
        <v>0</v>
      </c>
      <c r="R6" s="4">
        <v>0</v>
      </c>
      <c r="S6" s="4">
        <f t="shared" ref="S6:S33" si="0">SUM(B6:R6)</f>
        <v>59</v>
      </c>
    </row>
    <row r="7" spans="1:19" x14ac:dyDescent="0.15">
      <c r="A7" s="4" t="s">
        <v>6</v>
      </c>
      <c r="B7" s="4">
        <v>0</v>
      </c>
      <c r="C7" s="4">
        <v>0</v>
      </c>
      <c r="D7" s="4">
        <v>56</v>
      </c>
      <c r="E7" s="4">
        <v>0</v>
      </c>
      <c r="F7" s="4">
        <v>15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15</v>
      </c>
      <c r="O7" s="4">
        <v>0</v>
      </c>
      <c r="P7" s="4">
        <v>0</v>
      </c>
      <c r="Q7" s="4">
        <v>0</v>
      </c>
      <c r="R7" s="4">
        <v>0</v>
      </c>
      <c r="S7" s="4">
        <f t="shared" si="0"/>
        <v>86</v>
      </c>
    </row>
    <row r="8" spans="1:19" x14ac:dyDescent="0.15">
      <c r="A8" s="4" t="s">
        <v>7</v>
      </c>
      <c r="B8" s="4">
        <v>0</v>
      </c>
      <c r="C8" s="4">
        <v>0</v>
      </c>
      <c r="D8" s="4">
        <v>97</v>
      </c>
      <c r="E8" s="4">
        <v>0</v>
      </c>
      <c r="F8" s="4">
        <v>5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26</v>
      </c>
      <c r="O8" s="4">
        <v>0</v>
      </c>
      <c r="P8" s="4">
        <v>0</v>
      </c>
      <c r="Q8" s="4">
        <v>0</v>
      </c>
      <c r="R8" s="4">
        <v>0</v>
      </c>
      <c r="S8" s="4">
        <f t="shared" si="0"/>
        <v>129</v>
      </c>
    </row>
    <row r="9" spans="1:19" x14ac:dyDescent="0.15">
      <c r="A9" s="4" t="s">
        <v>58</v>
      </c>
      <c r="B9" s="4">
        <v>0</v>
      </c>
      <c r="C9" s="4">
        <v>1</v>
      </c>
      <c r="D9" s="4">
        <v>80</v>
      </c>
      <c r="E9" s="4">
        <v>0</v>
      </c>
      <c r="F9" s="4">
        <v>26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43</v>
      </c>
      <c r="O9" s="4">
        <v>0</v>
      </c>
      <c r="P9" s="4">
        <v>4</v>
      </c>
      <c r="Q9" s="4">
        <v>0</v>
      </c>
      <c r="R9" s="4">
        <v>0</v>
      </c>
      <c r="S9" s="4">
        <f t="shared" si="0"/>
        <v>155</v>
      </c>
    </row>
    <row r="10" spans="1:19" x14ac:dyDescent="0.15">
      <c r="A10" s="4" t="s">
        <v>72</v>
      </c>
      <c r="B10" s="4">
        <v>0</v>
      </c>
      <c r="C10" s="4">
        <v>0</v>
      </c>
      <c r="D10" s="4">
        <v>126</v>
      </c>
      <c r="E10" s="4">
        <v>0</v>
      </c>
      <c r="F10" s="4">
        <v>4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</v>
      </c>
      <c r="M10" s="4">
        <v>0</v>
      </c>
      <c r="N10" s="4">
        <v>71</v>
      </c>
      <c r="O10" s="4">
        <v>0</v>
      </c>
      <c r="P10" s="4">
        <v>9</v>
      </c>
      <c r="Q10" s="4">
        <v>0</v>
      </c>
      <c r="R10" s="4">
        <v>1</v>
      </c>
      <c r="S10" s="4">
        <f t="shared" si="0"/>
        <v>213</v>
      </c>
    </row>
    <row r="11" spans="1:19" x14ac:dyDescent="0.15">
      <c r="A11" s="4" t="s">
        <v>73</v>
      </c>
      <c r="B11" s="4">
        <v>0</v>
      </c>
      <c r="C11" s="4">
        <v>0</v>
      </c>
      <c r="D11" s="4">
        <v>108</v>
      </c>
      <c r="E11" s="4">
        <v>0</v>
      </c>
      <c r="F11" s="4">
        <v>3</v>
      </c>
      <c r="G11" s="4">
        <v>0</v>
      </c>
      <c r="H11" s="4">
        <v>0</v>
      </c>
      <c r="I11" s="4">
        <v>1</v>
      </c>
      <c r="J11" s="4">
        <v>0</v>
      </c>
      <c r="K11" s="4">
        <v>0</v>
      </c>
      <c r="L11" s="4">
        <v>1</v>
      </c>
      <c r="M11" s="4">
        <v>0</v>
      </c>
      <c r="N11" s="4">
        <v>45</v>
      </c>
      <c r="O11" s="4">
        <v>0</v>
      </c>
      <c r="P11" s="4">
        <v>6</v>
      </c>
      <c r="Q11" s="4">
        <v>0</v>
      </c>
      <c r="R11" s="4">
        <v>1</v>
      </c>
      <c r="S11" s="4">
        <f t="shared" si="0"/>
        <v>165</v>
      </c>
    </row>
    <row r="12" spans="1:19" x14ac:dyDescent="0.15">
      <c r="A12" s="4" t="s">
        <v>74</v>
      </c>
      <c r="B12" s="4">
        <v>0</v>
      </c>
      <c r="C12" s="4">
        <v>0</v>
      </c>
      <c r="D12" s="4">
        <v>178</v>
      </c>
      <c r="E12" s="4">
        <v>0</v>
      </c>
      <c r="F12" s="4">
        <v>6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0</v>
      </c>
      <c r="N12" s="4">
        <v>56</v>
      </c>
      <c r="O12" s="4">
        <v>0</v>
      </c>
      <c r="P12" s="4">
        <v>0</v>
      </c>
      <c r="Q12" s="4">
        <v>0</v>
      </c>
      <c r="R12" s="4">
        <v>0</v>
      </c>
      <c r="S12" s="4">
        <f t="shared" si="0"/>
        <v>241</v>
      </c>
    </row>
    <row r="13" spans="1:19" x14ac:dyDescent="0.15">
      <c r="A13" s="4" t="s">
        <v>59</v>
      </c>
      <c r="B13" s="4">
        <v>0</v>
      </c>
      <c r="C13" s="4">
        <v>0</v>
      </c>
      <c r="D13" s="4">
        <v>291</v>
      </c>
      <c r="E13" s="4">
        <v>0</v>
      </c>
      <c r="F13" s="4">
        <v>18</v>
      </c>
      <c r="G13" s="4">
        <v>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83</v>
      </c>
      <c r="O13" s="4">
        <v>0</v>
      </c>
      <c r="P13" s="4">
        <v>1</v>
      </c>
      <c r="Q13" s="4">
        <v>1</v>
      </c>
      <c r="R13" s="4">
        <v>1</v>
      </c>
      <c r="S13" s="4">
        <f t="shared" si="0"/>
        <v>397</v>
      </c>
    </row>
    <row r="14" spans="1:19" x14ac:dyDescent="0.15">
      <c r="A14" s="4" t="s">
        <v>76</v>
      </c>
      <c r="B14" s="4">
        <v>1</v>
      </c>
      <c r="C14" s="4">
        <v>3</v>
      </c>
      <c r="D14" s="4">
        <v>223</v>
      </c>
      <c r="E14" s="4">
        <v>0</v>
      </c>
      <c r="F14" s="4">
        <v>81</v>
      </c>
      <c r="G14" s="4">
        <v>0</v>
      </c>
      <c r="H14" s="4">
        <v>0</v>
      </c>
      <c r="I14" s="4">
        <v>1</v>
      </c>
      <c r="J14" s="4">
        <v>0</v>
      </c>
      <c r="K14" s="4">
        <v>1</v>
      </c>
      <c r="L14" s="4">
        <v>3</v>
      </c>
      <c r="M14" s="4">
        <v>0</v>
      </c>
      <c r="N14" s="4">
        <v>68</v>
      </c>
      <c r="O14" s="4">
        <v>0</v>
      </c>
      <c r="P14" s="4">
        <v>2</v>
      </c>
      <c r="Q14" s="4">
        <v>0</v>
      </c>
      <c r="R14" s="4">
        <v>1</v>
      </c>
      <c r="S14" s="4">
        <f t="shared" si="0"/>
        <v>384</v>
      </c>
    </row>
    <row r="15" spans="1:19" x14ac:dyDescent="0.15">
      <c r="A15" s="4" t="s">
        <v>60</v>
      </c>
      <c r="B15" s="4">
        <v>0</v>
      </c>
      <c r="C15" s="4">
        <v>6</v>
      </c>
      <c r="D15" s="4">
        <v>199</v>
      </c>
      <c r="E15" s="4">
        <v>0</v>
      </c>
      <c r="F15" s="4">
        <v>17</v>
      </c>
      <c r="G15" s="4">
        <v>3</v>
      </c>
      <c r="H15" s="4">
        <v>0</v>
      </c>
      <c r="I15" s="4">
        <v>0</v>
      </c>
      <c r="J15" s="4">
        <v>0</v>
      </c>
      <c r="K15" s="4">
        <v>0</v>
      </c>
      <c r="L15" s="4">
        <v>4</v>
      </c>
      <c r="M15" s="4">
        <v>1</v>
      </c>
      <c r="N15" s="4">
        <v>72</v>
      </c>
      <c r="O15" s="4">
        <v>0</v>
      </c>
      <c r="P15" s="4">
        <v>4</v>
      </c>
      <c r="Q15" s="4">
        <v>0</v>
      </c>
      <c r="R15" s="4">
        <v>0</v>
      </c>
      <c r="S15" s="4">
        <f t="shared" si="0"/>
        <v>306</v>
      </c>
    </row>
    <row r="16" spans="1:19" x14ac:dyDescent="0.15">
      <c r="A16" s="4" t="s">
        <v>61</v>
      </c>
      <c r="B16" s="4">
        <v>0</v>
      </c>
      <c r="C16" s="4">
        <v>5</v>
      </c>
      <c r="D16" s="4">
        <v>209</v>
      </c>
      <c r="E16" s="4">
        <v>0</v>
      </c>
      <c r="F16" s="4">
        <v>38</v>
      </c>
      <c r="G16" s="4">
        <v>3</v>
      </c>
      <c r="H16" s="4">
        <v>0</v>
      </c>
      <c r="I16" s="4">
        <v>0</v>
      </c>
      <c r="J16" s="4">
        <v>0</v>
      </c>
      <c r="K16" s="4">
        <v>3</v>
      </c>
      <c r="L16" s="4">
        <v>6</v>
      </c>
      <c r="M16" s="4">
        <v>0</v>
      </c>
      <c r="N16" s="4">
        <v>74</v>
      </c>
      <c r="O16" s="4">
        <v>0</v>
      </c>
      <c r="P16" s="4">
        <v>2</v>
      </c>
      <c r="Q16" s="4">
        <v>0</v>
      </c>
      <c r="R16" s="4">
        <v>1</v>
      </c>
      <c r="S16" s="4">
        <f t="shared" si="0"/>
        <v>341</v>
      </c>
    </row>
    <row r="17" spans="1:19" x14ac:dyDescent="0.15">
      <c r="A17" s="4" t="s">
        <v>62</v>
      </c>
      <c r="B17" s="4">
        <v>0</v>
      </c>
      <c r="C17" s="4">
        <v>5</v>
      </c>
      <c r="D17" s="4">
        <v>217</v>
      </c>
      <c r="E17" s="4">
        <v>0</v>
      </c>
      <c r="F17" s="4">
        <v>6</v>
      </c>
      <c r="G17" s="4">
        <v>3</v>
      </c>
      <c r="H17" s="4">
        <v>0</v>
      </c>
      <c r="I17" s="4">
        <v>0</v>
      </c>
      <c r="J17" s="4">
        <v>0</v>
      </c>
      <c r="K17" s="4">
        <v>0</v>
      </c>
      <c r="L17" s="4">
        <v>8</v>
      </c>
      <c r="M17" s="4">
        <v>0</v>
      </c>
      <c r="N17" s="4">
        <v>55</v>
      </c>
      <c r="O17" s="4">
        <v>0</v>
      </c>
      <c r="P17" s="4">
        <v>3</v>
      </c>
      <c r="Q17" s="4">
        <v>0</v>
      </c>
      <c r="R17" s="4">
        <v>3</v>
      </c>
      <c r="S17" s="4">
        <f t="shared" si="0"/>
        <v>300</v>
      </c>
    </row>
    <row r="18" spans="1:19" x14ac:dyDescent="0.15">
      <c r="A18" s="4" t="s">
        <v>8</v>
      </c>
      <c r="B18" s="4">
        <v>0</v>
      </c>
      <c r="C18" s="4">
        <v>6</v>
      </c>
      <c r="D18" s="4">
        <v>176</v>
      </c>
      <c r="E18" s="4">
        <v>0</v>
      </c>
      <c r="F18" s="4">
        <v>10</v>
      </c>
      <c r="G18" s="4">
        <v>3</v>
      </c>
      <c r="H18" s="4">
        <v>0</v>
      </c>
      <c r="I18" s="4">
        <v>0</v>
      </c>
      <c r="J18" s="4">
        <v>0</v>
      </c>
      <c r="K18" s="4">
        <v>2</v>
      </c>
      <c r="L18" s="4">
        <v>15</v>
      </c>
      <c r="M18" s="4">
        <v>1</v>
      </c>
      <c r="N18" s="4">
        <v>41</v>
      </c>
      <c r="O18" s="4">
        <v>0</v>
      </c>
      <c r="P18" s="4">
        <v>1</v>
      </c>
      <c r="Q18" s="4">
        <v>0</v>
      </c>
      <c r="R18" s="4">
        <v>2</v>
      </c>
      <c r="S18" s="4">
        <f t="shared" si="0"/>
        <v>257</v>
      </c>
    </row>
    <row r="19" spans="1:19" x14ac:dyDescent="0.15">
      <c r="A19" s="4" t="s">
        <v>9</v>
      </c>
      <c r="B19" s="4">
        <v>0</v>
      </c>
      <c r="C19" s="4">
        <v>7</v>
      </c>
      <c r="D19" s="4">
        <v>238</v>
      </c>
      <c r="E19" s="4">
        <v>0</v>
      </c>
      <c r="F19" s="4">
        <v>0</v>
      </c>
      <c r="G19" s="4">
        <v>8</v>
      </c>
      <c r="H19" s="4">
        <v>0</v>
      </c>
      <c r="I19" s="4">
        <v>0</v>
      </c>
      <c r="J19" s="4">
        <v>0</v>
      </c>
      <c r="K19" s="4">
        <v>8</v>
      </c>
      <c r="L19" s="4">
        <v>11</v>
      </c>
      <c r="M19" s="4">
        <v>0</v>
      </c>
      <c r="N19" s="4">
        <v>29</v>
      </c>
      <c r="O19" s="4">
        <v>0</v>
      </c>
      <c r="P19" s="4">
        <v>1</v>
      </c>
      <c r="Q19" s="4">
        <v>0</v>
      </c>
      <c r="R19" s="4">
        <v>2</v>
      </c>
      <c r="S19" s="4">
        <f t="shared" si="0"/>
        <v>304</v>
      </c>
    </row>
    <row r="20" spans="1:19" x14ac:dyDescent="0.15">
      <c r="A20" s="4" t="s">
        <v>10</v>
      </c>
      <c r="B20" s="4">
        <v>0</v>
      </c>
      <c r="C20" s="4">
        <v>0</v>
      </c>
      <c r="D20" s="4">
        <v>121</v>
      </c>
      <c r="E20" s="4">
        <v>0</v>
      </c>
      <c r="F20" s="4">
        <v>0</v>
      </c>
      <c r="G20" s="4">
        <v>5</v>
      </c>
      <c r="H20" s="4">
        <v>0</v>
      </c>
      <c r="I20" s="4">
        <v>0</v>
      </c>
      <c r="J20" s="4">
        <v>0</v>
      </c>
      <c r="K20" s="4">
        <v>1</v>
      </c>
      <c r="L20" s="4">
        <v>2</v>
      </c>
      <c r="M20" s="4">
        <v>0</v>
      </c>
      <c r="N20" s="4">
        <v>22</v>
      </c>
      <c r="O20" s="4">
        <v>0</v>
      </c>
      <c r="P20" s="4">
        <v>0</v>
      </c>
      <c r="Q20" s="4">
        <v>0</v>
      </c>
      <c r="R20" s="4">
        <v>0</v>
      </c>
      <c r="S20" s="4">
        <f t="shared" si="0"/>
        <v>151</v>
      </c>
    </row>
    <row r="21" spans="1:19" x14ac:dyDescent="0.15">
      <c r="A21" s="4" t="s">
        <v>11</v>
      </c>
      <c r="B21" s="4">
        <v>0</v>
      </c>
      <c r="C21" s="4">
        <v>2</v>
      </c>
      <c r="D21" s="4">
        <v>203</v>
      </c>
      <c r="E21" s="4">
        <v>0</v>
      </c>
      <c r="F21" s="4">
        <v>5</v>
      </c>
      <c r="G21" s="4">
        <v>2</v>
      </c>
      <c r="H21" s="4">
        <v>0</v>
      </c>
      <c r="I21" s="4">
        <v>0</v>
      </c>
      <c r="J21" s="4">
        <v>0</v>
      </c>
      <c r="K21" s="4">
        <v>3</v>
      </c>
      <c r="L21" s="4">
        <v>3</v>
      </c>
      <c r="M21" s="4">
        <v>0</v>
      </c>
      <c r="N21" s="4">
        <v>17</v>
      </c>
      <c r="O21" s="4">
        <v>0</v>
      </c>
      <c r="P21" s="4">
        <v>0</v>
      </c>
      <c r="Q21" s="4">
        <v>0</v>
      </c>
      <c r="R21" s="4">
        <v>0</v>
      </c>
      <c r="S21" s="4">
        <f t="shared" si="0"/>
        <v>235</v>
      </c>
    </row>
    <row r="22" spans="1:19" x14ac:dyDescent="0.15">
      <c r="A22" s="4" t="s">
        <v>119</v>
      </c>
      <c r="B22" s="4">
        <v>0</v>
      </c>
      <c r="C22" s="4">
        <v>5</v>
      </c>
      <c r="D22" s="4">
        <v>210</v>
      </c>
      <c r="E22" s="4">
        <v>0</v>
      </c>
      <c r="F22" s="4">
        <v>1</v>
      </c>
      <c r="G22" s="4">
        <v>10</v>
      </c>
      <c r="H22" s="4">
        <v>0</v>
      </c>
      <c r="I22" s="4">
        <v>0</v>
      </c>
      <c r="J22" s="4">
        <v>0</v>
      </c>
      <c r="K22" s="4">
        <v>11</v>
      </c>
      <c r="L22" s="4">
        <v>5</v>
      </c>
      <c r="M22" s="4">
        <v>1</v>
      </c>
      <c r="N22" s="4">
        <v>23</v>
      </c>
      <c r="O22" s="4">
        <v>0</v>
      </c>
      <c r="P22" s="4">
        <v>2</v>
      </c>
      <c r="Q22" s="4">
        <v>0</v>
      </c>
      <c r="R22" s="4">
        <v>2</v>
      </c>
      <c r="S22" s="4">
        <f t="shared" si="0"/>
        <v>270</v>
      </c>
    </row>
    <row r="23" spans="1:19" x14ac:dyDescent="0.15">
      <c r="A23" s="4" t="s">
        <v>12</v>
      </c>
      <c r="B23" s="4">
        <v>0</v>
      </c>
      <c r="C23" s="4">
        <v>0</v>
      </c>
      <c r="D23" s="4">
        <v>225</v>
      </c>
      <c r="E23" s="4">
        <v>0</v>
      </c>
      <c r="F23" s="4">
        <v>2</v>
      </c>
      <c r="G23" s="4">
        <v>0</v>
      </c>
      <c r="H23" s="4">
        <v>0</v>
      </c>
      <c r="I23" s="4">
        <v>0</v>
      </c>
      <c r="J23" s="4">
        <v>0</v>
      </c>
      <c r="K23" s="4">
        <v>2</v>
      </c>
      <c r="L23" s="4">
        <v>8</v>
      </c>
      <c r="M23" s="4">
        <v>0</v>
      </c>
      <c r="N23" s="4">
        <v>14</v>
      </c>
      <c r="O23" s="4">
        <v>0</v>
      </c>
      <c r="P23" s="4">
        <v>0</v>
      </c>
      <c r="Q23" s="4">
        <v>0</v>
      </c>
      <c r="R23" s="4">
        <v>0</v>
      </c>
      <c r="S23" s="4">
        <f t="shared" si="0"/>
        <v>251</v>
      </c>
    </row>
    <row r="24" spans="1:19" x14ac:dyDescent="0.15">
      <c r="A24" s="4" t="s">
        <v>13</v>
      </c>
      <c r="B24" s="4">
        <v>7</v>
      </c>
      <c r="C24" s="4">
        <v>4</v>
      </c>
      <c r="D24" s="4">
        <v>259</v>
      </c>
      <c r="E24" s="4">
        <v>0</v>
      </c>
      <c r="F24" s="4">
        <v>6</v>
      </c>
      <c r="G24" s="4">
        <v>9</v>
      </c>
      <c r="H24" s="4">
        <v>0</v>
      </c>
      <c r="I24" s="4">
        <v>0</v>
      </c>
      <c r="J24" s="4">
        <v>0</v>
      </c>
      <c r="K24" s="4">
        <v>9</v>
      </c>
      <c r="L24" s="4">
        <v>8</v>
      </c>
      <c r="M24" s="4">
        <v>0</v>
      </c>
      <c r="N24" s="4">
        <v>35</v>
      </c>
      <c r="O24" s="4">
        <v>0</v>
      </c>
      <c r="P24" s="4">
        <v>2</v>
      </c>
      <c r="Q24" s="4">
        <v>0</v>
      </c>
      <c r="R24" s="4">
        <v>5</v>
      </c>
      <c r="S24" s="4">
        <f t="shared" si="0"/>
        <v>344</v>
      </c>
    </row>
    <row r="25" spans="1:19" x14ac:dyDescent="0.15">
      <c r="A25" s="4" t="s">
        <v>14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1</v>
      </c>
      <c r="O25" s="4">
        <v>0</v>
      </c>
      <c r="P25" s="4">
        <v>0</v>
      </c>
      <c r="Q25" s="4">
        <v>0</v>
      </c>
      <c r="R25" s="4">
        <v>0</v>
      </c>
      <c r="S25" s="4">
        <f t="shared" si="0"/>
        <v>2</v>
      </c>
    </row>
    <row r="26" spans="1:19" x14ac:dyDescent="0.15">
      <c r="A26" s="4" t="s">
        <v>15</v>
      </c>
      <c r="B26" s="4">
        <v>0</v>
      </c>
      <c r="C26" s="4">
        <v>0</v>
      </c>
      <c r="D26" s="4">
        <v>228</v>
      </c>
      <c r="E26" s="4">
        <v>0</v>
      </c>
      <c r="F26" s="4">
        <v>8</v>
      </c>
      <c r="G26" s="4">
        <v>2</v>
      </c>
      <c r="H26" s="4">
        <v>0</v>
      </c>
      <c r="I26" s="4">
        <v>0</v>
      </c>
      <c r="J26" s="4">
        <v>0</v>
      </c>
      <c r="K26" s="4">
        <v>0</v>
      </c>
      <c r="L26" s="4">
        <v>7</v>
      </c>
      <c r="M26" s="4">
        <v>0</v>
      </c>
      <c r="N26" s="4">
        <v>23</v>
      </c>
      <c r="O26" s="4">
        <v>0</v>
      </c>
      <c r="P26" s="4">
        <v>0</v>
      </c>
      <c r="Q26" s="4">
        <v>0</v>
      </c>
      <c r="R26" s="4">
        <v>4</v>
      </c>
      <c r="S26" s="4">
        <f t="shared" si="0"/>
        <v>272</v>
      </c>
    </row>
    <row r="27" spans="1:19" x14ac:dyDescent="0.15">
      <c r="A27" s="4" t="s">
        <v>16</v>
      </c>
      <c r="B27" s="4">
        <v>0</v>
      </c>
      <c r="C27" s="4">
        <v>0</v>
      </c>
      <c r="D27" s="4">
        <v>343</v>
      </c>
      <c r="E27" s="4">
        <v>0</v>
      </c>
      <c r="F27" s="4">
        <v>1</v>
      </c>
      <c r="G27" s="4">
        <v>0</v>
      </c>
      <c r="H27" s="4">
        <v>0</v>
      </c>
      <c r="I27" s="4">
        <v>0</v>
      </c>
      <c r="J27" s="4">
        <v>0</v>
      </c>
      <c r="K27" s="4">
        <v>1</v>
      </c>
      <c r="L27" s="4">
        <v>4</v>
      </c>
      <c r="M27" s="4">
        <v>1</v>
      </c>
      <c r="N27" s="4">
        <v>14</v>
      </c>
      <c r="O27" s="4">
        <v>0</v>
      </c>
      <c r="P27" s="4">
        <v>0</v>
      </c>
      <c r="Q27" s="4">
        <v>0</v>
      </c>
      <c r="R27" s="4">
        <v>6</v>
      </c>
      <c r="S27" s="4">
        <f t="shared" si="0"/>
        <v>370</v>
      </c>
    </row>
    <row r="28" spans="1:19" x14ac:dyDescent="0.15">
      <c r="A28" s="4" t="s">
        <v>17</v>
      </c>
      <c r="B28" s="4">
        <v>0</v>
      </c>
      <c r="C28" s="4">
        <v>1</v>
      </c>
      <c r="D28" s="4">
        <v>231</v>
      </c>
      <c r="E28" s="4">
        <v>0</v>
      </c>
      <c r="F28" s="4">
        <v>13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10</v>
      </c>
      <c r="O28" s="4">
        <v>0</v>
      </c>
      <c r="P28" s="4">
        <v>0</v>
      </c>
      <c r="Q28" s="4">
        <v>0</v>
      </c>
      <c r="R28" s="4">
        <v>1</v>
      </c>
      <c r="S28" s="4">
        <f t="shared" si="0"/>
        <v>256</v>
      </c>
    </row>
    <row r="29" spans="1:19" x14ac:dyDescent="0.15">
      <c r="A29" s="4" t="s">
        <v>18</v>
      </c>
      <c r="B29" s="4">
        <v>0</v>
      </c>
      <c r="C29" s="4">
        <v>7</v>
      </c>
      <c r="D29" s="4">
        <v>354</v>
      </c>
      <c r="E29" s="4">
        <v>0</v>
      </c>
      <c r="F29" s="4">
        <v>13</v>
      </c>
      <c r="G29" s="4">
        <v>0</v>
      </c>
      <c r="H29" s="4">
        <v>0</v>
      </c>
      <c r="I29" s="4">
        <v>0</v>
      </c>
      <c r="J29" s="4">
        <v>0</v>
      </c>
      <c r="K29" s="4">
        <v>1</v>
      </c>
      <c r="L29" s="4">
        <v>1</v>
      </c>
      <c r="M29" s="4">
        <v>0</v>
      </c>
      <c r="N29" s="4">
        <v>13</v>
      </c>
      <c r="O29" s="4">
        <v>0</v>
      </c>
      <c r="P29" s="4">
        <v>0</v>
      </c>
      <c r="Q29" s="4">
        <v>0</v>
      </c>
      <c r="R29" s="4">
        <v>1</v>
      </c>
      <c r="S29" s="4">
        <f t="shared" si="0"/>
        <v>390</v>
      </c>
    </row>
    <row r="30" spans="1:19" x14ac:dyDescent="0.15">
      <c r="A30" s="4" t="s">
        <v>19</v>
      </c>
      <c r="B30" s="4">
        <v>3</v>
      </c>
      <c r="C30" s="4">
        <v>2</v>
      </c>
      <c r="D30" s="4">
        <v>355</v>
      </c>
      <c r="E30" s="4">
        <v>0</v>
      </c>
      <c r="F30" s="4">
        <v>3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  <c r="N30" s="4">
        <v>14</v>
      </c>
      <c r="O30" s="4">
        <v>0</v>
      </c>
      <c r="P30" s="4">
        <v>0</v>
      </c>
      <c r="Q30" s="4">
        <v>0</v>
      </c>
      <c r="R30" s="4">
        <v>1</v>
      </c>
      <c r="S30" s="4">
        <f t="shared" si="0"/>
        <v>379</v>
      </c>
    </row>
    <row r="31" spans="1:19" x14ac:dyDescent="0.15">
      <c r="A31" s="4" t="s">
        <v>20</v>
      </c>
      <c r="B31" s="4">
        <v>0</v>
      </c>
      <c r="C31" s="4">
        <v>3</v>
      </c>
      <c r="D31" s="4">
        <v>277</v>
      </c>
      <c r="E31" s="4">
        <v>0</v>
      </c>
      <c r="F31" s="4">
        <v>7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4</v>
      </c>
      <c r="O31" s="4">
        <v>0</v>
      </c>
      <c r="P31" s="4">
        <v>0</v>
      </c>
      <c r="Q31" s="4">
        <v>0</v>
      </c>
      <c r="R31" s="4">
        <v>0</v>
      </c>
      <c r="S31" s="4">
        <f t="shared" si="0"/>
        <v>291</v>
      </c>
    </row>
    <row r="32" spans="1:19" x14ac:dyDescent="0.15">
      <c r="A32" s="4" t="s">
        <v>21</v>
      </c>
      <c r="B32" s="4">
        <v>0</v>
      </c>
      <c r="C32" s="4">
        <v>1</v>
      </c>
      <c r="D32" s="4">
        <v>164</v>
      </c>
      <c r="E32" s="4">
        <v>0</v>
      </c>
      <c r="F32" s="4">
        <v>1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f t="shared" si="0"/>
        <v>166</v>
      </c>
    </row>
    <row r="33" spans="1:19" x14ac:dyDescent="0.15">
      <c r="A33" s="4" t="s">
        <v>22</v>
      </c>
      <c r="B33" s="4">
        <v>0</v>
      </c>
      <c r="C33" s="4">
        <v>1</v>
      </c>
      <c r="D33" s="4">
        <v>268</v>
      </c>
      <c r="E33" s="4">
        <v>0</v>
      </c>
      <c r="F33" s="4">
        <v>2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2</v>
      </c>
      <c r="O33" s="4">
        <v>0</v>
      </c>
      <c r="P33" s="4">
        <v>0</v>
      </c>
      <c r="Q33" s="4">
        <v>0</v>
      </c>
      <c r="R33" s="4">
        <v>0</v>
      </c>
      <c r="S33" s="4">
        <f t="shared" si="0"/>
        <v>273</v>
      </c>
    </row>
    <row r="34" spans="1:19" x14ac:dyDescent="0.15">
      <c r="A34" s="15" t="s">
        <v>192</v>
      </c>
      <c r="B34" s="8">
        <f>SUM(B5:B33)</f>
        <v>12</v>
      </c>
      <c r="C34" s="8">
        <f t="shared" ref="C34:R34" si="1">SUM(C5:C33)</f>
        <v>60</v>
      </c>
      <c r="D34" s="8">
        <f t="shared" si="1"/>
        <v>5499</v>
      </c>
      <c r="E34" s="8">
        <f t="shared" si="1"/>
        <v>0</v>
      </c>
      <c r="F34" s="8">
        <f t="shared" si="1"/>
        <v>302</v>
      </c>
      <c r="G34" s="8">
        <f t="shared" si="1"/>
        <v>50</v>
      </c>
      <c r="H34" s="8">
        <f t="shared" si="1"/>
        <v>0</v>
      </c>
      <c r="I34" s="8">
        <f t="shared" si="1"/>
        <v>2</v>
      </c>
      <c r="J34" s="8">
        <f t="shared" si="1"/>
        <v>0</v>
      </c>
      <c r="K34" s="8">
        <f t="shared" si="1"/>
        <v>43</v>
      </c>
      <c r="L34" s="8">
        <f t="shared" si="1"/>
        <v>91</v>
      </c>
      <c r="M34" s="8">
        <f t="shared" si="1"/>
        <v>4</v>
      </c>
      <c r="N34" s="8">
        <f t="shared" si="1"/>
        <v>886</v>
      </c>
      <c r="O34" s="8">
        <f t="shared" si="1"/>
        <v>0</v>
      </c>
      <c r="P34" s="8">
        <f t="shared" si="1"/>
        <v>37</v>
      </c>
      <c r="Q34" s="8">
        <f t="shared" si="1"/>
        <v>1</v>
      </c>
      <c r="R34" s="8">
        <f t="shared" si="1"/>
        <v>32</v>
      </c>
      <c r="S34" s="8">
        <f>SUM(S5:S33)</f>
        <v>7019</v>
      </c>
    </row>
  </sheetData>
  <mergeCells count="2">
    <mergeCell ref="A3:A4"/>
    <mergeCell ref="A1:S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zoomScale="85" zoomScaleNormal="85" workbookViewId="0">
      <selection sqref="A1:R1"/>
    </sheetView>
  </sheetViews>
  <sheetFormatPr defaultRowHeight="13.5" x14ac:dyDescent="0.15"/>
  <sheetData>
    <row r="1" spans="1:18" ht="18.75" x14ac:dyDescent="0.15">
      <c r="A1" s="48" t="s">
        <v>159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18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5" t="s">
        <v>65</v>
      </c>
    </row>
    <row r="3" spans="1:18" x14ac:dyDescent="0.15">
      <c r="A3" s="49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144</v>
      </c>
      <c r="J3" s="7" t="s">
        <v>32</v>
      </c>
      <c r="K3" s="7" t="s">
        <v>145</v>
      </c>
      <c r="L3" s="7" t="s">
        <v>33</v>
      </c>
      <c r="M3" s="7" t="s">
        <v>34</v>
      </c>
      <c r="N3" s="7" t="s">
        <v>35</v>
      </c>
      <c r="O3" s="7" t="s">
        <v>36</v>
      </c>
      <c r="P3" s="7" t="s">
        <v>37</v>
      </c>
      <c r="Q3" s="7" t="s">
        <v>38</v>
      </c>
      <c r="R3" s="7" t="s">
        <v>67</v>
      </c>
    </row>
    <row r="4" spans="1:18" ht="40.5" x14ac:dyDescent="0.15">
      <c r="A4" s="50"/>
      <c r="B4" s="7" t="s">
        <v>146</v>
      </c>
      <c r="C4" s="7" t="s">
        <v>39</v>
      </c>
      <c r="D4" s="7" t="s">
        <v>40</v>
      </c>
      <c r="E4" s="7" t="s">
        <v>147</v>
      </c>
      <c r="F4" s="7" t="s">
        <v>41</v>
      </c>
      <c r="G4" s="7" t="s">
        <v>148</v>
      </c>
      <c r="H4" s="7" t="s">
        <v>149</v>
      </c>
      <c r="I4" s="7" t="s">
        <v>150</v>
      </c>
      <c r="J4" s="7" t="s">
        <v>151</v>
      </c>
      <c r="K4" s="7" t="s">
        <v>152</v>
      </c>
      <c r="L4" s="7" t="s">
        <v>42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153</v>
      </c>
      <c r="R4" s="7" t="s">
        <v>67</v>
      </c>
    </row>
    <row r="5" spans="1:18" x14ac:dyDescent="0.15">
      <c r="A5" s="12" t="s">
        <v>47</v>
      </c>
      <c r="B5" s="12">
        <v>0</v>
      </c>
      <c r="C5" s="12">
        <v>0</v>
      </c>
      <c r="D5" s="12">
        <v>32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f>SUM(B5:Q5)</f>
        <v>32</v>
      </c>
    </row>
    <row r="6" spans="1:18" x14ac:dyDescent="0.15">
      <c r="A6" s="12" t="s">
        <v>48</v>
      </c>
      <c r="B6" s="12">
        <v>0</v>
      </c>
      <c r="C6" s="12">
        <v>0</v>
      </c>
      <c r="D6" s="12">
        <v>36</v>
      </c>
      <c r="E6" s="12">
        <v>0</v>
      </c>
      <c r="F6" s="12">
        <v>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4</v>
      </c>
      <c r="O6" s="12">
        <v>0</v>
      </c>
      <c r="P6" s="12">
        <v>0</v>
      </c>
      <c r="Q6" s="12">
        <v>0</v>
      </c>
      <c r="R6" s="12">
        <f t="shared" ref="R6:R31" si="0">SUM(B6:Q6)</f>
        <v>42</v>
      </c>
    </row>
    <row r="7" spans="1:18" x14ac:dyDescent="0.15">
      <c r="A7" s="12" t="s">
        <v>84</v>
      </c>
      <c r="B7" s="12">
        <v>0</v>
      </c>
      <c r="C7" s="12">
        <v>0</v>
      </c>
      <c r="D7" s="12">
        <v>59</v>
      </c>
      <c r="E7" s="12">
        <v>0</v>
      </c>
      <c r="F7" s="12">
        <v>9</v>
      </c>
      <c r="G7" s="12">
        <v>0</v>
      </c>
      <c r="H7" s="12">
        <v>0</v>
      </c>
      <c r="I7" s="12">
        <v>2</v>
      </c>
      <c r="J7" s="12">
        <v>0</v>
      </c>
      <c r="K7" s="12">
        <v>0</v>
      </c>
      <c r="L7" s="12">
        <v>0</v>
      </c>
      <c r="M7" s="12">
        <v>0</v>
      </c>
      <c r="N7" s="12">
        <v>7</v>
      </c>
      <c r="O7" s="12">
        <v>0</v>
      </c>
      <c r="P7" s="12">
        <v>0</v>
      </c>
      <c r="Q7" s="12">
        <v>0</v>
      </c>
      <c r="R7" s="12">
        <f t="shared" si="0"/>
        <v>77</v>
      </c>
    </row>
    <row r="8" spans="1:18" x14ac:dyDescent="0.15">
      <c r="A8" s="12" t="s">
        <v>85</v>
      </c>
      <c r="B8" s="12">
        <v>0</v>
      </c>
      <c r="C8" s="12">
        <v>0</v>
      </c>
      <c r="D8" s="12">
        <v>97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19</v>
      </c>
      <c r="O8" s="12">
        <v>0</v>
      </c>
      <c r="P8" s="12">
        <v>5</v>
      </c>
      <c r="Q8" s="12">
        <v>1</v>
      </c>
      <c r="R8" s="12">
        <f t="shared" si="0"/>
        <v>123</v>
      </c>
    </row>
    <row r="9" spans="1:18" x14ac:dyDescent="0.15">
      <c r="A9" s="12" t="s">
        <v>49</v>
      </c>
      <c r="B9" s="12">
        <v>0</v>
      </c>
      <c r="C9" s="12">
        <v>0</v>
      </c>
      <c r="D9" s="12">
        <v>42</v>
      </c>
      <c r="E9" s="12">
        <v>0</v>
      </c>
      <c r="F9" s="12">
        <v>1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35</v>
      </c>
      <c r="O9" s="12">
        <v>0</v>
      </c>
      <c r="P9" s="12">
        <v>2</v>
      </c>
      <c r="Q9" s="12">
        <v>0</v>
      </c>
      <c r="R9" s="12">
        <f t="shared" si="0"/>
        <v>80</v>
      </c>
    </row>
    <row r="10" spans="1:18" x14ac:dyDescent="0.15">
      <c r="A10" s="12" t="s">
        <v>86</v>
      </c>
      <c r="B10" s="12">
        <v>0</v>
      </c>
      <c r="C10" s="12">
        <v>0</v>
      </c>
      <c r="D10" s="12">
        <v>67</v>
      </c>
      <c r="E10" s="12">
        <v>0</v>
      </c>
      <c r="F10" s="12">
        <v>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1</v>
      </c>
      <c r="M10" s="12">
        <v>0</v>
      </c>
      <c r="N10" s="12">
        <v>15</v>
      </c>
      <c r="O10" s="12">
        <v>0</v>
      </c>
      <c r="P10" s="12">
        <v>1</v>
      </c>
      <c r="Q10" s="12">
        <v>0</v>
      </c>
      <c r="R10" s="12">
        <f t="shared" si="0"/>
        <v>88</v>
      </c>
    </row>
    <row r="11" spans="1:18" x14ac:dyDescent="0.15">
      <c r="A11" s="12" t="s">
        <v>87</v>
      </c>
      <c r="B11" s="12">
        <v>0</v>
      </c>
      <c r="C11" s="12">
        <v>1</v>
      </c>
      <c r="D11" s="12">
        <v>147</v>
      </c>
      <c r="E11" s="12">
        <v>0</v>
      </c>
      <c r="F11" s="12">
        <v>0</v>
      </c>
      <c r="G11" s="12">
        <v>1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40</v>
      </c>
      <c r="O11" s="12">
        <v>0</v>
      </c>
      <c r="P11" s="12">
        <v>5</v>
      </c>
      <c r="Q11" s="12">
        <v>1</v>
      </c>
      <c r="R11" s="12">
        <f t="shared" si="0"/>
        <v>195</v>
      </c>
    </row>
    <row r="12" spans="1:18" x14ac:dyDescent="0.15">
      <c r="A12" s="12" t="s">
        <v>92</v>
      </c>
      <c r="B12" s="12">
        <v>0</v>
      </c>
      <c r="C12" s="12">
        <v>0</v>
      </c>
      <c r="D12" s="12">
        <v>177</v>
      </c>
      <c r="E12" s="12">
        <v>0</v>
      </c>
      <c r="F12" s="12">
        <v>2</v>
      </c>
      <c r="G12" s="12">
        <v>45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11</v>
      </c>
      <c r="O12" s="12">
        <v>0</v>
      </c>
      <c r="P12" s="12">
        <v>3</v>
      </c>
      <c r="Q12" s="12">
        <v>10</v>
      </c>
      <c r="R12" s="12">
        <f t="shared" si="0"/>
        <v>248</v>
      </c>
    </row>
    <row r="13" spans="1:18" x14ac:dyDescent="0.15">
      <c r="A13" s="12" t="s">
        <v>88</v>
      </c>
      <c r="B13" s="12">
        <v>0</v>
      </c>
      <c r="C13" s="12">
        <v>0</v>
      </c>
      <c r="D13" s="12">
        <v>268</v>
      </c>
      <c r="E13" s="12">
        <v>0</v>
      </c>
      <c r="F13" s="12">
        <v>5</v>
      </c>
      <c r="G13" s="12">
        <v>26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31</v>
      </c>
      <c r="O13" s="12">
        <v>0</v>
      </c>
      <c r="P13" s="12">
        <v>3</v>
      </c>
      <c r="Q13" s="12">
        <v>3</v>
      </c>
      <c r="R13" s="12">
        <f t="shared" si="0"/>
        <v>336</v>
      </c>
    </row>
    <row r="14" spans="1:18" x14ac:dyDescent="0.15">
      <c r="A14" s="12" t="s">
        <v>50</v>
      </c>
      <c r="B14" s="12">
        <v>0</v>
      </c>
      <c r="C14" s="12">
        <v>5</v>
      </c>
      <c r="D14" s="12">
        <v>236</v>
      </c>
      <c r="E14" s="12">
        <v>0</v>
      </c>
      <c r="F14" s="12">
        <v>2</v>
      </c>
      <c r="G14" s="12">
        <v>20</v>
      </c>
      <c r="H14" s="12">
        <v>0</v>
      </c>
      <c r="I14" s="12">
        <v>0</v>
      </c>
      <c r="J14" s="12">
        <v>0</v>
      </c>
      <c r="K14" s="12">
        <v>0</v>
      </c>
      <c r="L14" s="12">
        <v>1</v>
      </c>
      <c r="M14" s="12">
        <v>0</v>
      </c>
      <c r="N14" s="12">
        <v>21</v>
      </c>
      <c r="O14" s="12">
        <v>0</v>
      </c>
      <c r="P14" s="12">
        <v>6</v>
      </c>
      <c r="Q14" s="12">
        <v>1</v>
      </c>
      <c r="R14" s="12">
        <f t="shared" si="0"/>
        <v>292</v>
      </c>
    </row>
    <row r="15" spans="1:18" x14ac:dyDescent="0.15">
      <c r="A15" s="12" t="s">
        <v>89</v>
      </c>
      <c r="B15" s="12">
        <v>0</v>
      </c>
      <c r="C15" s="12">
        <v>5</v>
      </c>
      <c r="D15" s="12">
        <v>222</v>
      </c>
      <c r="E15" s="12">
        <v>0</v>
      </c>
      <c r="F15" s="12">
        <v>1</v>
      </c>
      <c r="G15" s="12">
        <v>10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46</v>
      </c>
      <c r="O15" s="12">
        <v>0</v>
      </c>
      <c r="P15" s="12">
        <v>3</v>
      </c>
      <c r="Q15" s="12">
        <v>2</v>
      </c>
      <c r="R15" s="12">
        <f t="shared" si="0"/>
        <v>289</v>
      </c>
    </row>
    <row r="16" spans="1:18" x14ac:dyDescent="0.15">
      <c r="A16" s="12" t="s">
        <v>51</v>
      </c>
      <c r="B16" s="12">
        <v>0</v>
      </c>
      <c r="C16" s="12">
        <v>3</v>
      </c>
      <c r="D16" s="12">
        <v>293</v>
      </c>
      <c r="E16" s="12">
        <v>0</v>
      </c>
      <c r="F16" s="12">
        <v>3</v>
      </c>
      <c r="G16" s="12">
        <v>6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56</v>
      </c>
      <c r="O16" s="12">
        <v>0</v>
      </c>
      <c r="P16" s="12">
        <v>6</v>
      </c>
      <c r="Q16" s="12">
        <v>1</v>
      </c>
      <c r="R16" s="12">
        <f t="shared" si="0"/>
        <v>368</v>
      </c>
    </row>
    <row r="17" spans="1:18" x14ac:dyDescent="0.15">
      <c r="A17" s="12" t="s">
        <v>91</v>
      </c>
      <c r="B17" s="12">
        <v>0</v>
      </c>
      <c r="C17" s="12">
        <v>0</v>
      </c>
      <c r="D17" s="12">
        <v>168</v>
      </c>
      <c r="E17" s="12">
        <v>0</v>
      </c>
      <c r="F17" s="12">
        <v>1</v>
      </c>
      <c r="G17" s="12">
        <v>9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31</v>
      </c>
      <c r="O17" s="12">
        <v>0</v>
      </c>
      <c r="P17" s="12">
        <v>1</v>
      </c>
      <c r="Q17" s="12">
        <v>1</v>
      </c>
      <c r="R17" s="12">
        <f t="shared" si="0"/>
        <v>211</v>
      </c>
    </row>
    <row r="18" spans="1:18" x14ac:dyDescent="0.15">
      <c r="A18" s="12" t="s">
        <v>52</v>
      </c>
      <c r="B18" s="12">
        <v>0</v>
      </c>
      <c r="C18" s="12">
        <v>0</v>
      </c>
      <c r="D18" s="12">
        <v>295</v>
      </c>
      <c r="E18" s="12">
        <v>0</v>
      </c>
      <c r="F18" s="12">
        <v>0</v>
      </c>
      <c r="G18" s="12">
        <v>13</v>
      </c>
      <c r="H18" s="12">
        <v>0</v>
      </c>
      <c r="I18" s="12">
        <v>0</v>
      </c>
      <c r="J18" s="12">
        <v>0</v>
      </c>
      <c r="K18" s="12">
        <v>0</v>
      </c>
      <c r="L18" s="12">
        <v>1</v>
      </c>
      <c r="M18" s="12">
        <v>0</v>
      </c>
      <c r="N18" s="12">
        <v>84</v>
      </c>
      <c r="O18" s="12">
        <v>0</v>
      </c>
      <c r="P18" s="12">
        <v>0</v>
      </c>
      <c r="Q18" s="12">
        <v>2</v>
      </c>
      <c r="R18" s="12">
        <f t="shared" si="0"/>
        <v>395</v>
      </c>
    </row>
    <row r="19" spans="1:18" x14ac:dyDescent="0.15">
      <c r="A19" s="12" t="s">
        <v>53</v>
      </c>
      <c r="B19" s="12">
        <v>0</v>
      </c>
      <c r="C19" s="12">
        <v>1</v>
      </c>
      <c r="D19" s="12">
        <v>130</v>
      </c>
      <c r="E19" s="12">
        <v>0</v>
      </c>
      <c r="F19" s="12">
        <v>0</v>
      </c>
      <c r="G19" s="12">
        <v>4</v>
      </c>
      <c r="H19" s="12">
        <v>0</v>
      </c>
      <c r="I19" s="12">
        <v>0</v>
      </c>
      <c r="J19" s="12">
        <v>0</v>
      </c>
      <c r="K19" s="12">
        <v>0</v>
      </c>
      <c r="L19" s="12">
        <v>1</v>
      </c>
      <c r="M19" s="12">
        <v>0</v>
      </c>
      <c r="N19" s="12">
        <v>83</v>
      </c>
      <c r="O19" s="12">
        <v>0</v>
      </c>
      <c r="P19" s="12">
        <v>1</v>
      </c>
      <c r="Q19" s="12">
        <v>14</v>
      </c>
      <c r="R19" s="12">
        <f t="shared" si="0"/>
        <v>234</v>
      </c>
    </row>
    <row r="20" spans="1:18" x14ac:dyDescent="0.15">
      <c r="A20" s="12" t="s">
        <v>54</v>
      </c>
      <c r="B20" s="12">
        <v>0</v>
      </c>
      <c r="C20" s="12">
        <v>2</v>
      </c>
      <c r="D20" s="12">
        <v>126</v>
      </c>
      <c r="E20" s="12">
        <v>0</v>
      </c>
      <c r="F20" s="12">
        <v>1</v>
      </c>
      <c r="G20" s="12">
        <v>2</v>
      </c>
      <c r="H20" s="12">
        <v>0</v>
      </c>
      <c r="I20" s="12">
        <v>0</v>
      </c>
      <c r="J20" s="12">
        <v>0</v>
      </c>
      <c r="K20" s="12">
        <v>0</v>
      </c>
      <c r="L20" s="12">
        <v>2</v>
      </c>
      <c r="M20" s="12">
        <v>0</v>
      </c>
      <c r="N20" s="12">
        <v>56</v>
      </c>
      <c r="O20" s="12">
        <v>0</v>
      </c>
      <c r="P20" s="12">
        <v>1</v>
      </c>
      <c r="Q20" s="12">
        <v>10</v>
      </c>
      <c r="R20" s="12">
        <f t="shared" si="0"/>
        <v>200</v>
      </c>
    </row>
    <row r="21" spans="1:18" x14ac:dyDescent="0.15">
      <c r="A21" s="12" t="s">
        <v>55</v>
      </c>
      <c r="B21" s="12">
        <v>0</v>
      </c>
      <c r="C21" s="12">
        <v>2</v>
      </c>
      <c r="D21" s="12">
        <v>99</v>
      </c>
      <c r="E21" s="12">
        <v>0</v>
      </c>
      <c r="F21" s="12">
        <v>0</v>
      </c>
      <c r="G21" s="12">
        <v>8</v>
      </c>
      <c r="H21" s="12">
        <v>0</v>
      </c>
      <c r="I21" s="12">
        <v>0</v>
      </c>
      <c r="J21" s="12">
        <v>0</v>
      </c>
      <c r="K21" s="12">
        <v>0</v>
      </c>
      <c r="L21" s="12">
        <v>1</v>
      </c>
      <c r="M21" s="12">
        <v>0</v>
      </c>
      <c r="N21" s="12">
        <v>62</v>
      </c>
      <c r="O21" s="12">
        <v>0</v>
      </c>
      <c r="P21" s="12">
        <v>1</v>
      </c>
      <c r="Q21" s="12">
        <v>3</v>
      </c>
      <c r="R21" s="12">
        <f t="shared" si="0"/>
        <v>176</v>
      </c>
    </row>
    <row r="22" spans="1:18" x14ac:dyDescent="0.15">
      <c r="A22" s="12" t="s">
        <v>93</v>
      </c>
      <c r="B22" s="12">
        <v>0</v>
      </c>
      <c r="C22" s="12">
        <v>2</v>
      </c>
      <c r="D22" s="12">
        <v>259</v>
      </c>
      <c r="E22" s="12">
        <v>0</v>
      </c>
      <c r="F22" s="12">
        <v>0</v>
      </c>
      <c r="G22" s="12">
        <v>24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20</v>
      </c>
      <c r="O22" s="12">
        <v>0</v>
      </c>
      <c r="P22" s="12">
        <v>2</v>
      </c>
      <c r="Q22" s="12">
        <v>4</v>
      </c>
      <c r="R22" s="12">
        <f t="shared" si="0"/>
        <v>311</v>
      </c>
    </row>
    <row r="23" spans="1:18" x14ac:dyDescent="0.15">
      <c r="A23" s="12" t="s">
        <v>94</v>
      </c>
      <c r="B23" s="12">
        <v>0</v>
      </c>
      <c r="C23" s="12">
        <v>5</v>
      </c>
      <c r="D23" s="12">
        <v>157</v>
      </c>
      <c r="E23" s="12">
        <v>0</v>
      </c>
      <c r="F23" s="12">
        <v>0</v>
      </c>
      <c r="G23" s="12">
        <v>7</v>
      </c>
      <c r="H23" s="12">
        <v>0</v>
      </c>
      <c r="I23" s="12">
        <v>0</v>
      </c>
      <c r="J23" s="12">
        <v>0</v>
      </c>
      <c r="K23" s="12">
        <v>0</v>
      </c>
      <c r="L23" s="12">
        <v>1</v>
      </c>
      <c r="M23" s="12">
        <v>0</v>
      </c>
      <c r="N23" s="12">
        <v>22</v>
      </c>
      <c r="O23" s="12">
        <v>0</v>
      </c>
      <c r="P23" s="12">
        <v>0</v>
      </c>
      <c r="Q23" s="12">
        <v>10</v>
      </c>
      <c r="R23" s="12">
        <f t="shared" si="0"/>
        <v>202</v>
      </c>
    </row>
    <row r="24" spans="1:18" x14ac:dyDescent="0.15">
      <c r="A24" s="12" t="s">
        <v>56</v>
      </c>
      <c r="B24" s="12">
        <v>0</v>
      </c>
      <c r="C24" s="12">
        <v>5</v>
      </c>
      <c r="D24" s="12">
        <v>240</v>
      </c>
      <c r="E24" s="12">
        <v>0</v>
      </c>
      <c r="F24" s="12">
        <v>0</v>
      </c>
      <c r="G24" s="12">
        <v>2</v>
      </c>
      <c r="H24" s="12">
        <v>0</v>
      </c>
      <c r="I24" s="12">
        <v>0</v>
      </c>
      <c r="J24" s="12">
        <v>0</v>
      </c>
      <c r="K24" s="12">
        <v>0</v>
      </c>
      <c r="L24" s="12">
        <v>2</v>
      </c>
      <c r="M24" s="12">
        <v>0</v>
      </c>
      <c r="N24" s="12">
        <v>42</v>
      </c>
      <c r="O24" s="12">
        <v>0</v>
      </c>
      <c r="P24" s="12">
        <v>0</v>
      </c>
      <c r="Q24" s="12">
        <v>2</v>
      </c>
      <c r="R24" s="12">
        <f t="shared" si="0"/>
        <v>293</v>
      </c>
    </row>
    <row r="25" spans="1:18" x14ac:dyDescent="0.15">
      <c r="A25" s="12" t="s">
        <v>95</v>
      </c>
      <c r="B25" s="12">
        <v>0</v>
      </c>
      <c r="C25" s="12">
        <v>3</v>
      </c>
      <c r="D25" s="12">
        <v>281</v>
      </c>
      <c r="E25" s="12">
        <v>0</v>
      </c>
      <c r="F25" s="12">
        <v>2</v>
      </c>
      <c r="G25" s="12">
        <v>1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52</v>
      </c>
      <c r="O25" s="12">
        <v>0</v>
      </c>
      <c r="P25" s="12">
        <v>0</v>
      </c>
      <c r="Q25" s="12">
        <v>3</v>
      </c>
      <c r="R25" s="12">
        <f t="shared" si="0"/>
        <v>342</v>
      </c>
    </row>
    <row r="26" spans="1:18" x14ac:dyDescent="0.15">
      <c r="A26" s="12" t="s">
        <v>97</v>
      </c>
      <c r="B26" s="12">
        <v>0</v>
      </c>
      <c r="C26" s="12">
        <v>5</v>
      </c>
      <c r="D26" s="12">
        <v>327</v>
      </c>
      <c r="E26" s="12">
        <v>0</v>
      </c>
      <c r="F26" s="12">
        <v>2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9</v>
      </c>
      <c r="O26" s="12">
        <v>0</v>
      </c>
      <c r="P26" s="12">
        <v>0</v>
      </c>
      <c r="Q26" s="12">
        <v>1</v>
      </c>
      <c r="R26" s="12">
        <f t="shared" si="0"/>
        <v>344</v>
      </c>
    </row>
    <row r="27" spans="1:18" x14ac:dyDescent="0.15">
      <c r="A27" s="12" t="s">
        <v>98</v>
      </c>
      <c r="B27" s="12">
        <v>0</v>
      </c>
      <c r="C27" s="12">
        <v>3</v>
      </c>
      <c r="D27" s="12">
        <v>313</v>
      </c>
      <c r="E27" s="12">
        <v>0</v>
      </c>
      <c r="F27" s="12">
        <v>1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9</v>
      </c>
      <c r="O27" s="12">
        <v>0</v>
      </c>
      <c r="P27" s="12">
        <v>0</v>
      </c>
      <c r="Q27" s="12">
        <v>1</v>
      </c>
      <c r="R27" s="12">
        <f t="shared" si="0"/>
        <v>327</v>
      </c>
    </row>
    <row r="28" spans="1:18" x14ac:dyDescent="0.15">
      <c r="A28" s="12" t="s">
        <v>99</v>
      </c>
      <c r="B28" s="12">
        <v>0</v>
      </c>
      <c r="C28" s="12">
        <v>2</v>
      </c>
      <c r="D28" s="12">
        <v>393</v>
      </c>
      <c r="E28" s="12">
        <v>0</v>
      </c>
      <c r="F28" s="12">
        <v>2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4</v>
      </c>
      <c r="O28" s="12">
        <v>0</v>
      </c>
      <c r="P28" s="12">
        <v>0</v>
      </c>
      <c r="Q28" s="12">
        <v>1</v>
      </c>
      <c r="R28" s="12">
        <f t="shared" si="0"/>
        <v>402</v>
      </c>
    </row>
    <row r="29" spans="1:18" x14ac:dyDescent="0.15">
      <c r="A29" s="12" t="s">
        <v>100</v>
      </c>
      <c r="B29" s="12">
        <v>0</v>
      </c>
      <c r="C29" s="12">
        <v>2</v>
      </c>
      <c r="D29" s="12">
        <v>255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1</v>
      </c>
      <c r="O29" s="12">
        <v>0</v>
      </c>
      <c r="P29" s="12">
        <v>0</v>
      </c>
      <c r="Q29" s="12">
        <v>0</v>
      </c>
      <c r="R29" s="12">
        <f t="shared" si="0"/>
        <v>258</v>
      </c>
    </row>
    <row r="30" spans="1:18" x14ac:dyDescent="0.15">
      <c r="A30" s="12" t="s">
        <v>112</v>
      </c>
      <c r="B30" s="12">
        <v>0</v>
      </c>
      <c r="C30" s="12">
        <v>1</v>
      </c>
      <c r="D30" s="12">
        <v>105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1</v>
      </c>
      <c r="O30" s="12">
        <v>0</v>
      </c>
      <c r="P30" s="12">
        <v>1</v>
      </c>
      <c r="Q30" s="12">
        <v>0</v>
      </c>
      <c r="R30" s="12">
        <f t="shared" si="0"/>
        <v>108</v>
      </c>
    </row>
    <row r="31" spans="1:18" x14ac:dyDescent="0.15">
      <c r="A31" s="12" t="s">
        <v>101</v>
      </c>
      <c r="B31" s="12">
        <v>0</v>
      </c>
      <c r="C31" s="12">
        <v>0</v>
      </c>
      <c r="D31" s="12">
        <v>37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f t="shared" si="0"/>
        <v>37</v>
      </c>
    </row>
    <row r="32" spans="1:18" ht="13.5" customHeight="1" x14ac:dyDescent="0.15">
      <c r="A32" s="13" t="s">
        <v>191</v>
      </c>
      <c r="B32" s="14">
        <f>SUM(B5:B31)</f>
        <v>0</v>
      </c>
      <c r="C32" s="14">
        <f t="shared" ref="C32:R32" si="1">SUM(C5:C31)</f>
        <v>47</v>
      </c>
      <c r="D32" s="14">
        <f t="shared" si="1"/>
        <v>4861</v>
      </c>
      <c r="E32" s="14">
        <f t="shared" si="1"/>
        <v>0</v>
      </c>
      <c r="F32" s="14">
        <f t="shared" si="1"/>
        <v>39</v>
      </c>
      <c r="G32" s="14">
        <f t="shared" si="1"/>
        <v>178</v>
      </c>
      <c r="H32" s="14">
        <f t="shared" si="1"/>
        <v>0</v>
      </c>
      <c r="I32" s="14">
        <f t="shared" si="1"/>
        <v>2</v>
      </c>
      <c r="J32" s="14">
        <f t="shared" si="1"/>
        <v>0</v>
      </c>
      <c r="K32" s="14">
        <f t="shared" si="1"/>
        <v>0</v>
      </c>
      <c r="L32" s="14">
        <f t="shared" si="1"/>
        <v>10</v>
      </c>
      <c r="M32" s="14">
        <f t="shared" si="1"/>
        <v>0</v>
      </c>
      <c r="N32" s="14">
        <f t="shared" si="1"/>
        <v>761</v>
      </c>
      <c r="O32" s="14">
        <f t="shared" si="1"/>
        <v>0</v>
      </c>
      <c r="P32" s="14">
        <f t="shared" si="1"/>
        <v>41</v>
      </c>
      <c r="Q32" s="14">
        <f t="shared" si="1"/>
        <v>71</v>
      </c>
      <c r="R32" s="14">
        <f t="shared" si="1"/>
        <v>6010</v>
      </c>
    </row>
  </sheetData>
  <mergeCells count="2">
    <mergeCell ref="A3:A4"/>
    <mergeCell ref="A1:R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zoomScale="85" zoomScaleNormal="85" workbookViewId="0">
      <selection sqref="A1:R1"/>
    </sheetView>
  </sheetViews>
  <sheetFormatPr defaultRowHeight="13.5" x14ac:dyDescent="0.15"/>
  <cols>
    <col min="11" max="11" width="10.5546875" customWidth="1"/>
  </cols>
  <sheetData>
    <row r="1" spans="1:19" ht="18.75" x14ac:dyDescent="0.25">
      <c r="A1" s="51" t="s">
        <v>160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19"/>
    </row>
    <row r="2" spans="1:19" x14ac:dyDescent="0.15">
      <c r="R2" s="16" t="s">
        <v>65</v>
      </c>
    </row>
    <row r="3" spans="1:19" x14ac:dyDescent="0.15">
      <c r="A3" s="49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144</v>
      </c>
      <c r="J3" s="7" t="s">
        <v>32</v>
      </c>
      <c r="K3" s="7" t="s">
        <v>145</v>
      </c>
      <c r="L3" s="7" t="s">
        <v>33</v>
      </c>
      <c r="M3" s="7" t="s">
        <v>34</v>
      </c>
      <c r="N3" s="7" t="s">
        <v>35</v>
      </c>
      <c r="O3" s="7" t="s">
        <v>36</v>
      </c>
      <c r="P3" s="7" t="s">
        <v>37</v>
      </c>
      <c r="Q3" s="7" t="s">
        <v>38</v>
      </c>
      <c r="R3" s="7" t="s">
        <v>67</v>
      </c>
    </row>
    <row r="4" spans="1:19" ht="40.5" x14ac:dyDescent="0.15">
      <c r="A4" s="50"/>
      <c r="B4" s="7" t="s">
        <v>146</v>
      </c>
      <c r="C4" s="7" t="s">
        <v>39</v>
      </c>
      <c r="D4" s="7" t="s">
        <v>40</v>
      </c>
      <c r="E4" s="7" t="s">
        <v>147</v>
      </c>
      <c r="F4" s="7" t="s">
        <v>41</v>
      </c>
      <c r="G4" s="7" t="s">
        <v>148</v>
      </c>
      <c r="H4" s="7" t="s">
        <v>149</v>
      </c>
      <c r="I4" s="7" t="s">
        <v>150</v>
      </c>
      <c r="J4" s="7" t="s">
        <v>151</v>
      </c>
      <c r="K4" s="7" t="s">
        <v>152</v>
      </c>
      <c r="L4" s="7" t="s">
        <v>42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153</v>
      </c>
      <c r="R4" s="7" t="s">
        <v>67</v>
      </c>
    </row>
    <row r="5" spans="1:19" x14ac:dyDescent="0.15">
      <c r="A5" s="12" t="s">
        <v>111</v>
      </c>
      <c r="B5" s="12">
        <v>0</v>
      </c>
      <c r="C5" s="12">
        <v>0</v>
      </c>
      <c r="D5" s="12">
        <v>29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f>SUM(B5:Q5)</f>
        <v>29</v>
      </c>
    </row>
    <row r="6" spans="1:19" x14ac:dyDescent="0.15">
      <c r="A6" s="12" t="s">
        <v>82</v>
      </c>
      <c r="B6" s="12">
        <v>0</v>
      </c>
      <c r="C6" s="12">
        <v>0</v>
      </c>
      <c r="D6" s="12">
        <v>83</v>
      </c>
      <c r="E6" s="12">
        <v>0</v>
      </c>
      <c r="F6" s="12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f t="shared" ref="R6:R35" si="0">SUM(B6:Q6)</f>
        <v>84</v>
      </c>
    </row>
    <row r="7" spans="1:19" x14ac:dyDescent="0.15">
      <c r="A7" s="12" t="s">
        <v>161</v>
      </c>
      <c r="B7" s="12">
        <v>0</v>
      </c>
      <c r="C7" s="12">
        <v>0</v>
      </c>
      <c r="D7" s="12">
        <v>53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1</v>
      </c>
      <c r="O7" s="12">
        <v>1</v>
      </c>
      <c r="P7" s="12">
        <v>0</v>
      </c>
      <c r="Q7" s="12">
        <v>0</v>
      </c>
      <c r="R7" s="12">
        <f t="shared" si="0"/>
        <v>55</v>
      </c>
    </row>
    <row r="8" spans="1:19" x14ac:dyDescent="0.15">
      <c r="A8" s="12" t="s">
        <v>83</v>
      </c>
      <c r="B8" s="12">
        <v>0</v>
      </c>
      <c r="C8" s="12">
        <v>0</v>
      </c>
      <c r="D8" s="12">
        <v>28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</v>
      </c>
      <c r="O8" s="12">
        <v>0</v>
      </c>
      <c r="P8" s="12">
        <v>0</v>
      </c>
      <c r="Q8" s="12">
        <v>0</v>
      </c>
      <c r="R8" s="12">
        <f t="shared" si="0"/>
        <v>30</v>
      </c>
    </row>
    <row r="9" spans="1:19" x14ac:dyDescent="0.15">
      <c r="A9" s="12" t="s">
        <v>47</v>
      </c>
      <c r="B9" s="12">
        <v>0</v>
      </c>
      <c r="C9" s="12">
        <v>0</v>
      </c>
      <c r="D9" s="12">
        <v>55</v>
      </c>
      <c r="E9" s="12">
        <v>0</v>
      </c>
      <c r="F9" s="12">
        <v>1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5</v>
      </c>
      <c r="O9" s="12">
        <v>0</v>
      </c>
      <c r="P9" s="12">
        <v>0</v>
      </c>
      <c r="Q9" s="12">
        <v>0</v>
      </c>
      <c r="R9" s="12">
        <f t="shared" si="0"/>
        <v>61</v>
      </c>
    </row>
    <row r="10" spans="1:19" x14ac:dyDescent="0.15">
      <c r="A10" s="12" t="s">
        <v>48</v>
      </c>
      <c r="B10" s="12">
        <v>0</v>
      </c>
      <c r="C10" s="12">
        <v>0</v>
      </c>
      <c r="D10" s="12">
        <v>27</v>
      </c>
      <c r="E10" s="12">
        <v>0</v>
      </c>
      <c r="F10" s="12">
        <v>3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5</v>
      </c>
      <c r="O10" s="12">
        <v>0</v>
      </c>
      <c r="P10" s="12">
        <v>0</v>
      </c>
      <c r="Q10" s="12">
        <v>0</v>
      </c>
      <c r="R10" s="12">
        <f t="shared" si="0"/>
        <v>35</v>
      </c>
    </row>
    <row r="11" spans="1:19" x14ac:dyDescent="0.15">
      <c r="A11" s="12" t="s">
        <v>84</v>
      </c>
      <c r="B11" s="12">
        <v>0</v>
      </c>
      <c r="C11" s="12">
        <v>0</v>
      </c>
      <c r="D11" s="12">
        <v>28</v>
      </c>
      <c r="E11" s="12">
        <v>0</v>
      </c>
      <c r="F11" s="12">
        <v>2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3</v>
      </c>
      <c r="O11" s="12">
        <v>0</v>
      </c>
      <c r="P11" s="12">
        <v>1</v>
      </c>
      <c r="Q11" s="12">
        <v>0</v>
      </c>
      <c r="R11" s="12">
        <f t="shared" si="0"/>
        <v>34</v>
      </c>
    </row>
    <row r="12" spans="1:19" x14ac:dyDescent="0.15">
      <c r="A12" s="12" t="s">
        <v>85</v>
      </c>
      <c r="B12" s="12">
        <v>0</v>
      </c>
      <c r="C12" s="12">
        <v>0</v>
      </c>
      <c r="D12" s="12">
        <v>49</v>
      </c>
      <c r="E12" s="12">
        <v>0</v>
      </c>
      <c r="F12" s="12">
        <v>3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12</v>
      </c>
      <c r="O12" s="12">
        <v>0</v>
      </c>
      <c r="P12" s="12">
        <v>3</v>
      </c>
      <c r="Q12" s="12">
        <v>0</v>
      </c>
      <c r="R12" s="12">
        <f t="shared" si="0"/>
        <v>67</v>
      </c>
    </row>
    <row r="13" spans="1:19" x14ac:dyDescent="0.15">
      <c r="A13" s="12" t="s">
        <v>49</v>
      </c>
      <c r="B13" s="12">
        <v>0</v>
      </c>
      <c r="C13" s="12">
        <v>0</v>
      </c>
      <c r="D13" s="12">
        <v>139</v>
      </c>
      <c r="E13" s="12">
        <v>0</v>
      </c>
      <c r="F13" s="12">
        <v>3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13</v>
      </c>
      <c r="O13" s="12">
        <v>0</v>
      </c>
      <c r="P13" s="12">
        <v>9</v>
      </c>
      <c r="Q13" s="12">
        <v>0</v>
      </c>
      <c r="R13" s="12">
        <f t="shared" si="0"/>
        <v>164</v>
      </c>
    </row>
    <row r="14" spans="1:19" x14ac:dyDescent="0.15">
      <c r="A14" s="12" t="s">
        <v>86</v>
      </c>
      <c r="B14" s="12">
        <v>0</v>
      </c>
      <c r="C14" s="12">
        <v>0</v>
      </c>
      <c r="D14" s="12">
        <v>165</v>
      </c>
      <c r="E14" s="12">
        <v>0</v>
      </c>
      <c r="F14" s="12">
        <v>8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31</v>
      </c>
      <c r="O14" s="12">
        <v>0</v>
      </c>
      <c r="P14" s="12">
        <v>18</v>
      </c>
      <c r="Q14" s="12">
        <v>0</v>
      </c>
      <c r="R14" s="12">
        <f t="shared" si="0"/>
        <v>222</v>
      </c>
    </row>
    <row r="15" spans="1:19" x14ac:dyDescent="0.15">
      <c r="A15" s="12" t="s">
        <v>87</v>
      </c>
      <c r="B15" s="12">
        <v>0</v>
      </c>
      <c r="C15" s="12">
        <v>0</v>
      </c>
      <c r="D15" s="12">
        <v>91</v>
      </c>
      <c r="E15" s="12">
        <v>0</v>
      </c>
      <c r="F15" s="12">
        <v>8</v>
      </c>
      <c r="G15" s="12">
        <v>0</v>
      </c>
      <c r="H15" s="12">
        <v>0</v>
      </c>
      <c r="I15" s="12">
        <v>1</v>
      </c>
      <c r="J15" s="12">
        <v>0</v>
      </c>
      <c r="K15" s="12">
        <v>1</v>
      </c>
      <c r="L15" s="12">
        <v>0</v>
      </c>
      <c r="M15" s="12">
        <v>0</v>
      </c>
      <c r="N15" s="12">
        <v>22</v>
      </c>
      <c r="O15" s="12">
        <v>0</v>
      </c>
      <c r="P15" s="12">
        <v>19</v>
      </c>
      <c r="Q15" s="12">
        <v>0</v>
      </c>
      <c r="R15" s="12">
        <f t="shared" si="0"/>
        <v>142</v>
      </c>
    </row>
    <row r="16" spans="1:19" x14ac:dyDescent="0.15">
      <c r="A16" s="12" t="s">
        <v>88</v>
      </c>
      <c r="B16" s="12">
        <v>0</v>
      </c>
      <c r="C16" s="12">
        <v>0</v>
      </c>
      <c r="D16" s="12">
        <v>236</v>
      </c>
      <c r="E16" s="12">
        <v>0</v>
      </c>
      <c r="F16" s="12">
        <v>2</v>
      </c>
      <c r="G16" s="12">
        <v>0</v>
      </c>
      <c r="H16" s="12">
        <v>0</v>
      </c>
      <c r="I16" s="12">
        <v>4</v>
      </c>
      <c r="J16" s="12">
        <v>0</v>
      </c>
      <c r="K16" s="12">
        <v>0</v>
      </c>
      <c r="L16" s="12">
        <v>0</v>
      </c>
      <c r="M16" s="12">
        <v>0</v>
      </c>
      <c r="N16" s="12">
        <v>12</v>
      </c>
      <c r="O16" s="12">
        <v>0</v>
      </c>
      <c r="P16" s="12">
        <v>4</v>
      </c>
      <c r="Q16" s="12">
        <v>1</v>
      </c>
      <c r="R16" s="12">
        <f t="shared" si="0"/>
        <v>259</v>
      </c>
    </row>
    <row r="17" spans="1:18" x14ac:dyDescent="0.15">
      <c r="A17" s="12" t="s">
        <v>50</v>
      </c>
      <c r="B17" s="12">
        <v>0</v>
      </c>
      <c r="C17" s="12">
        <v>2</v>
      </c>
      <c r="D17" s="12">
        <v>305</v>
      </c>
      <c r="E17" s="12">
        <v>0</v>
      </c>
      <c r="F17" s="12">
        <v>2</v>
      </c>
      <c r="G17" s="12">
        <v>0</v>
      </c>
      <c r="H17" s="12">
        <v>0</v>
      </c>
      <c r="I17" s="12">
        <v>13</v>
      </c>
      <c r="J17" s="12">
        <v>0</v>
      </c>
      <c r="K17" s="12">
        <v>5</v>
      </c>
      <c r="L17" s="12">
        <v>0</v>
      </c>
      <c r="M17" s="12">
        <v>0</v>
      </c>
      <c r="N17" s="12">
        <v>41</v>
      </c>
      <c r="O17" s="12">
        <v>0</v>
      </c>
      <c r="P17" s="12">
        <v>4</v>
      </c>
      <c r="Q17" s="12">
        <v>3</v>
      </c>
      <c r="R17" s="12">
        <f t="shared" si="0"/>
        <v>375</v>
      </c>
    </row>
    <row r="18" spans="1:18" x14ac:dyDescent="0.15">
      <c r="A18" s="12" t="s">
        <v>89</v>
      </c>
      <c r="B18" s="12">
        <v>0</v>
      </c>
      <c r="C18" s="12">
        <v>0</v>
      </c>
      <c r="D18" s="12">
        <v>320</v>
      </c>
      <c r="E18" s="12">
        <v>0</v>
      </c>
      <c r="F18" s="12">
        <v>2</v>
      </c>
      <c r="G18" s="12">
        <v>0</v>
      </c>
      <c r="H18" s="12">
        <v>0</v>
      </c>
      <c r="I18" s="12">
        <v>15</v>
      </c>
      <c r="J18" s="12">
        <v>0</v>
      </c>
      <c r="K18" s="12">
        <v>1</v>
      </c>
      <c r="L18" s="12">
        <v>0</v>
      </c>
      <c r="M18" s="12">
        <v>0</v>
      </c>
      <c r="N18" s="12">
        <v>43</v>
      </c>
      <c r="O18" s="12">
        <v>0</v>
      </c>
      <c r="P18" s="12">
        <v>3</v>
      </c>
      <c r="Q18" s="12">
        <v>3</v>
      </c>
      <c r="R18" s="12">
        <f t="shared" si="0"/>
        <v>387</v>
      </c>
    </row>
    <row r="19" spans="1:18" x14ac:dyDescent="0.15">
      <c r="A19" s="12" t="s">
        <v>51</v>
      </c>
      <c r="B19" s="12">
        <v>0</v>
      </c>
      <c r="C19" s="12">
        <v>2</v>
      </c>
      <c r="D19" s="12">
        <v>375</v>
      </c>
      <c r="E19" s="12">
        <v>0</v>
      </c>
      <c r="F19" s="12">
        <v>2</v>
      </c>
      <c r="G19" s="12">
        <v>0</v>
      </c>
      <c r="H19" s="12">
        <v>0</v>
      </c>
      <c r="I19" s="12">
        <v>8</v>
      </c>
      <c r="J19" s="12">
        <v>0</v>
      </c>
      <c r="K19" s="12">
        <v>6</v>
      </c>
      <c r="L19" s="12">
        <v>0</v>
      </c>
      <c r="M19" s="12">
        <v>0</v>
      </c>
      <c r="N19" s="12">
        <v>32</v>
      </c>
      <c r="O19" s="12">
        <v>0</v>
      </c>
      <c r="P19" s="12">
        <v>4</v>
      </c>
      <c r="Q19" s="12">
        <v>4</v>
      </c>
      <c r="R19" s="12">
        <f t="shared" si="0"/>
        <v>433</v>
      </c>
    </row>
    <row r="20" spans="1:18" x14ac:dyDescent="0.15">
      <c r="A20" s="12" t="s">
        <v>90</v>
      </c>
      <c r="B20" s="12">
        <v>0</v>
      </c>
      <c r="C20" s="12">
        <v>1</v>
      </c>
      <c r="D20" s="12">
        <v>305</v>
      </c>
      <c r="E20" s="12">
        <v>0</v>
      </c>
      <c r="F20" s="12">
        <v>1</v>
      </c>
      <c r="G20" s="12">
        <v>0</v>
      </c>
      <c r="H20" s="12">
        <v>0</v>
      </c>
      <c r="I20" s="12">
        <v>2</v>
      </c>
      <c r="J20" s="12">
        <v>0</v>
      </c>
      <c r="K20" s="12">
        <v>22</v>
      </c>
      <c r="L20" s="12">
        <v>0</v>
      </c>
      <c r="M20" s="12">
        <v>0</v>
      </c>
      <c r="N20" s="12">
        <v>25</v>
      </c>
      <c r="O20" s="12">
        <v>0</v>
      </c>
      <c r="P20" s="12">
        <v>5</v>
      </c>
      <c r="Q20" s="12">
        <v>10</v>
      </c>
      <c r="R20" s="12">
        <f t="shared" si="0"/>
        <v>371</v>
      </c>
    </row>
    <row r="21" spans="1:18" x14ac:dyDescent="0.15">
      <c r="A21" s="12" t="s">
        <v>91</v>
      </c>
      <c r="B21" s="12">
        <v>0</v>
      </c>
      <c r="C21" s="12">
        <v>3</v>
      </c>
      <c r="D21" s="12">
        <v>173</v>
      </c>
      <c r="E21" s="12">
        <v>0</v>
      </c>
      <c r="F21" s="12">
        <v>1</v>
      </c>
      <c r="G21" s="12">
        <v>0</v>
      </c>
      <c r="H21" s="12">
        <v>0</v>
      </c>
      <c r="I21" s="12">
        <v>5</v>
      </c>
      <c r="J21" s="12">
        <v>0</v>
      </c>
      <c r="K21" s="12">
        <v>6</v>
      </c>
      <c r="L21" s="12">
        <v>0</v>
      </c>
      <c r="M21" s="12">
        <v>0</v>
      </c>
      <c r="N21" s="12">
        <v>32</v>
      </c>
      <c r="O21" s="12">
        <v>0</v>
      </c>
      <c r="P21" s="12">
        <v>23</v>
      </c>
      <c r="Q21" s="12">
        <v>11</v>
      </c>
      <c r="R21" s="12">
        <f t="shared" si="0"/>
        <v>254</v>
      </c>
    </row>
    <row r="22" spans="1:18" x14ac:dyDescent="0.15">
      <c r="A22" s="12" t="s">
        <v>52</v>
      </c>
      <c r="B22" s="12">
        <v>0</v>
      </c>
      <c r="C22" s="12">
        <v>0</v>
      </c>
      <c r="D22" s="12">
        <v>151</v>
      </c>
      <c r="E22" s="12">
        <v>0</v>
      </c>
      <c r="F22" s="12">
        <v>1</v>
      </c>
      <c r="G22" s="12">
        <v>2</v>
      </c>
      <c r="H22" s="12">
        <v>0</v>
      </c>
      <c r="I22" s="12">
        <v>6</v>
      </c>
      <c r="J22" s="12">
        <v>0</v>
      </c>
      <c r="K22" s="12">
        <v>1</v>
      </c>
      <c r="L22" s="12">
        <v>1</v>
      </c>
      <c r="M22" s="12">
        <v>0</v>
      </c>
      <c r="N22" s="12">
        <v>49</v>
      </c>
      <c r="O22" s="12">
        <v>0</v>
      </c>
      <c r="P22" s="12">
        <v>6</v>
      </c>
      <c r="Q22" s="12">
        <v>1</v>
      </c>
      <c r="R22" s="12">
        <f t="shared" si="0"/>
        <v>218</v>
      </c>
    </row>
    <row r="23" spans="1:18" x14ac:dyDescent="0.15">
      <c r="A23" s="12" t="s">
        <v>53</v>
      </c>
      <c r="B23" s="12">
        <v>1</v>
      </c>
      <c r="C23" s="12">
        <v>1</v>
      </c>
      <c r="D23" s="12">
        <v>112</v>
      </c>
      <c r="E23" s="12">
        <v>0</v>
      </c>
      <c r="F23" s="12">
        <v>0</v>
      </c>
      <c r="G23" s="12">
        <v>1</v>
      </c>
      <c r="H23" s="12">
        <v>0</v>
      </c>
      <c r="I23" s="12">
        <v>2</v>
      </c>
      <c r="J23" s="12">
        <v>0</v>
      </c>
      <c r="K23" s="12">
        <v>1</v>
      </c>
      <c r="L23" s="12">
        <v>0</v>
      </c>
      <c r="M23" s="12">
        <v>0</v>
      </c>
      <c r="N23" s="12">
        <v>39</v>
      </c>
      <c r="O23" s="12">
        <v>0</v>
      </c>
      <c r="P23" s="12">
        <v>8</v>
      </c>
      <c r="Q23" s="12">
        <v>14</v>
      </c>
      <c r="R23" s="12">
        <f t="shared" si="0"/>
        <v>179</v>
      </c>
    </row>
    <row r="24" spans="1:18" x14ac:dyDescent="0.15">
      <c r="A24" s="12" t="s">
        <v>54</v>
      </c>
      <c r="B24" s="12">
        <v>1</v>
      </c>
      <c r="C24" s="12">
        <v>1</v>
      </c>
      <c r="D24" s="12">
        <v>138</v>
      </c>
      <c r="E24" s="12">
        <v>0</v>
      </c>
      <c r="F24" s="12">
        <v>1</v>
      </c>
      <c r="G24" s="12">
        <v>3</v>
      </c>
      <c r="H24" s="12">
        <v>0</v>
      </c>
      <c r="I24" s="12">
        <v>1</v>
      </c>
      <c r="J24" s="12">
        <v>0</v>
      </c>
      <c r="K24" s="12">
        <v>0</v>
      </c>
      <c r="L24" s="12">
        <v>2</v>
      </c>
      <c r="M24" s="12">
        <v>0</v>
      </c>
      <c r="N24" s="12">
        <v>49</v>
      </c>
      <c r="O24" s="12">
        <v>0</v>
      </c>
      <c r="P24" s="12">
        <v>5</v>
      </c>
      <c r="Q24" s="12">
        <v>1</v>
      </c>
      <c r="R24" s="12">
        <f t="shared" si="0"/>
        <v>202</v>
      </c>
    </row>
    <row r="25" spans="1:18" x14ac:dyDescent="0.15">
      <c r="A25" s="12" t="s">
        <v>93</v>
      </c>
      <c r="B25" s="12">
        <v>0</v>
      </c>
      <c r="C25" s="12">
        <v>1</v>
      </c>
      <c r="D25" s="12">
        <v>142</v>
      </c>
      <c r="E25" s="12">
        <v>0</v>
      </c>
      <c r="F25" s="12">
        <v>0</v>
      </c>
      <c r="G25" s="12">
        <v>2</v>
      </c>
      <c r="H25" s="12">
        <v>0</v>
      </c>
      <c r="I25" s="12">
        <v>2</v>
      </c>
      <c r="J25" s="12">
        <v>0</v>
      </c>
      <c r="K25" s="12">
        <v>0</v>
      </c>
      <c r="L25" s="12">
        <v>1</v>
      </c>
      <c r="M25" s="12">
        <v>0</v>
      </c>
      <c r="N25" s="12">
        <v>49</v>
      </c>
      <c r="O25" s="12">
        <v>0</v>
      </c>
      <c r="P25" s="12">
        <v>2</v>
      </c>
      <c r="Q25" s="12">
        <v>3</v>
      </c>
      <c r="R25" s="12">
        <f t="shared" si="0"/>
        <v>202</v>
      </c>
    </row>
    <row r="26" spans="1:18" x14ac:dyDescent="0.15">
      <c r="A26" s="12" t="s">
        <v>94</v>
      </c>
      <c r="B26" s="12">
        <v>0</v>
      </c>
      <c r="C26" s="12">
        <v>0</v>
      </c>
      <c r="D26" s="12">
        <v>109</v>
      </c>
      <c r="E26" s="12">
        <v>0</v>
      </c>
      <c r="F26" s="12">
        <v>2</v>
      </c>
      <c r="G26" s="12">
        <v>3</v>
      </c>
      <c r="H26" s="12">
        <v>0</v>
      </c>
      <c r="I26" s="12">
        <v>6</v>
      </c>
      <c r="J26" s="12">
        <v>0</v>
      </c>
      <c r="K26" s="12">
        <v>0</v>
      </c>
      <c r="L26" s="12">
        <v>1</v>
      </c>
      <c r="M26" s="12">
        <v>0</v>
      </c>
      <c r="N26" s="12">
        <v>55</v>
      </c>
      <c r="O26" s="12">
        <v>0</v>
      </c>
      <c r="P26" s="12">
        <v>2</v>
      </c>
      <c r="Q26" s="12">
        <v>1</v>
      </c>
      <c r="R26" s="12">
        <f t="shared" si="0"/>
        <v>179</v>
      </c>
    </row>
    <row r="27" spans="1:18" x14ac:dyDescent="0.15">
      <c r="A27" s="12" t="s">
        <v>56</v>
      </c>
      <c r="B27" s="12">
        <v>0</v>
      </c>
      <c r="C27" s="12">
        <v>0</v>
      </c>
      <c r="D27" s="12">
        <v>142</v>
      </c>
      <c r="E27" s="12">
        <v>0</v>
      </c>
      <c r="F27" s="12">
        <v>2</v>
      </c>
      <c r="G27" s="12">
        <v>0</v>
      </c>
      <c r="H27" s="12">
        <v>0</v>
      </c>
      <c r="I27" s="12">
        <v>2</v>
      </c>
      <c r="J27" s="12">
        <v>0</v>
      </c>
      <c r="K27" s="12">
        <v>0</v>
      </c>
      <c r="L27" s="12">
        <v>0</v>
      </c>
      <c r="M27" s="12">
        <v>0</v>
      </c>
      <c r="N27" s="12">
        <v>27</v>
      </c>
      <c r="O27" s="12">
        <v>0</v>
      </c>
      <c r="P27" s="12">
        <v>10</v>
      </c>
      <c r="Q27" s="12">
        <v>6</v>
      </c>
      <c r="R27" s="12">
        <f t="shared" si="0"/>
        <v>189</v>
      </c>
    </row>
    <row r="28" spans="1:18" x14ac:dyDescent="0.15">
      <c r="A28" s="12" t="s">
        <v>95</v>
      </c>
      <c r="B28" s="12">
        <v>0</v>
      </c>
      <c r="C28" s="12">
        <v>6</v>
      </c>
      <c r="D28" s="12">
        <v>234</v>
      </c>
      <c r="E28" s="12">
        <v>0</v>
      </c>
      <c r="F28" s="12">
        <v>0</v>
      </c>
      <c r="G28" s="12">
        <v>2</v>
      </c>
      <c r="H28" s="12">
        <v>0</v>
      </c>
      <c r="I28" s="12">
        <v>1</v>
      </c>
      <c r="J28" s="12">
        <v>0</v>
      </c>
      <c r="K28" s="12">
        <v>0</v>
      </c>
      <c r="L28" s="12">
        <v>3</v>
      </c>
      <c r="M28" s="12">
        <v>0</v>
      </c>
      <c r="N28" s="12">
        <v>62</v>
      </c>
      <c r="O28" s="12">
        <v>0</v>
      </c>
      <c r="P28" s="12">
        <v>1</v>
      </c>
      <c r="Q28" s="12">
        <v>6</v>
      </c>
      <c r="R28" s="12">
        <f t="shared" si="0"/>
        <v>315</v>
      </c>
    </row>
    <row r="29" spans="1:18" x14ac:dyDescent="0.15">
      <c r="A29" s="12" t="s">
        <v>97</v>
      </c>
      <c r="B29" s="12">
        <v>0</v>
      </c>
      <c r="C29" s="12">
        <v>6</v>
      </c>
      <c r="D29" s="12">
        <v>240</v>
      </c>
      <c r="E29" s="12">
        <v>0</v>
      </c>
      <c r="F29" s="12">
        <v>1</v>
      </c>
      <c r="G29" s="12">
        <v>2</v>
      </c>
      <c r="H29" s="12">
        <v>0</v>
      </c>
      <c r="I29" s="12">
        <v>2</v>
      </c>
      <c r="J29" s="12">
        <v>0</v>
      </c>
      <c r="K29" s="12">
        <v>0</v>
      </c>
      <c r="L29" s="12">
        <v>0</v>
      </c>
      <c r="M29" s="12">
        <v>0</v>
      </c>
      <c r="N29" s="12">
        <v>25</v>
      </c>
      <c r="O29" s="12">
        <v>0</v>
      </c>
      <c r="P29" s="12">
        <v>0</v>
      </c>
      <c r="Q29" s="12">
        <v>7</v>
      </c>
      <c r="R29" s="12">
        <f t="shared" si="0"/>
        <v>283</v>
      </c>
    </row>
    <row r="30" spans="1:18" x14ac:dyDescent="0.15">
      <c r="A30" s="12" t="s">
        <v>98</v>
      </c>
      <c r="B30" s="12">
        <v>0</v>
      </c>
      <c r="C30" s="12">
        <v>11</v>
      </c>
      <c r="D30" s="12">
        <v>192</v>
      </c>
      <c r="E30" s="12">
        <v>0</v>
      </c>
      <c r="F30" s="12">
        <v>4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7</v>
      </c>
      <c r="O30" s="12">
        <v>0</v>
      </c>
      <c r="P30" s="12">
        <v>0</v>
      </c>
      <c r="Q30" s="12">
        <v>1</v>
      </c>
      <c r="R30" s="12">
        <f t="shared" si="0"/>
        <v>215</v>
      </c>
    </row>
    <row r="31" spans="1:18" x14ac:dyDescent="0.15">
      <c r="A31" s="12" t="s">
        <v>99</v>
      </c>
      <c r="B31" s="12">
        <v>0</v>
      </c>
      <c r="C31" s="12">
        <v>1</v>
      </c>
      <c r="D31" s="12">
        <v>333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10</v>
      </c>
      <c r="O31" s="12">
        <v>0</v>
      </c>
      <c r="P31" s="12">
        <v>0</v>
      </c>
      <c r="Q31" s="12">
        <v>1</v>
      </c>
      <c r="R31" s="12">
        <f t="shared" si="0"/>
        <v>345</v>
      </c>
    </row>
    <row r="32" spans="1:18" x14ac:dyDescent="0.15">
      <c r="A32" s="12" t="s">
        <v>100</v>
      </c>
      <c r="B32" s="12">
        <v>0</v>
      </c>
      <c r="C32" s="12">
        <v>15</v>
      </c>
      <c r="D32" s="12">
        <v>369</v>
      </c>
      <c r="E32" s="12">
        <v>0</v>
      </c>
      <c r="F32" s="12">
        <v>0</v>
      </c>
      <c r="G32" s="12">
        <v>0</v>
      </c>
      <c r="H32" s="12">
        <v>0</v>
      </c>
      <c r="I32" s="12">
        <v>1</v>
      </c>
      <c r="J32" s="12">
        <v>0</v>
      </c>
      <c r="K32" s="12">
        <v>0</v>
      </c>
      <c r="L32" s="12">
        <v>1</v>
      </c>
      <c r="M32" s="12">
        <v>0</v>
      </c>
      <c r="N32" s="12">
        <v>27</v>
      </c>
      <c r="O32" s="12">
        <v>0</v>
      </c>
      <c r="P32" s="12">
        <v>0</v>
      </c>
      <c r="Q32" s="12">
        <v>3</v>
      </c>
      <c r="R32" s="12">
        <f t="shared" si="0"/>
        <v>416</v>
      </c>
    </row>
    <row r="33" spans="1:18" x14ac:dyDescent="0.15">
      <c r="A33" s="12" t="s">
        <v>139</v>
      </c>
      <c r="B33" s="12">
        <v>0</v>
      </c>
      <c r="C33" s="12">
        <v>10</v>
      </c>
      <c r="D33" s="12">
        <v>327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7</v>
      </c>
      <c r="O33" s="12">
        <v>0</v>
      </c>
      <c r="P33" s="12">
        <v>0</v>
      </c>
      <c r="Q33" s="12">
        <v>0</v>
      </c>
      <c r="R33" s="12">
        <f t="shared" si="0"/>
        <v>344</v>
      </c>
    </row>
    <row r="34" spans="1:18" x14ac:dyDescent="0.15">
      <c r="A34" s="12" t="s">
        <v>112</v>
      </c>
      <c r="B34" s="12">
        <v>0</v>
      </c>
      <c r="C34" s="12">
        <v>6</v>
      </c>
      <c r="D34" s="12">
        <v>380</v>
      </c>
      <c r="E34" s="12">
        <v>0</v>
      </c>
      <c r="F34" s="12">
        <v>5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1</v>
      </c>
      <c r="O34" s="12">
        <v>0</v>
      </c>
      <c r="P34" s="12">
        <v>0</v>
      </c>
      <c r="Q34" s="12">
        <v>0</v>
      </c>
      <c r="R34" s="12">
        <f t="shared" si="0"/>
        <v>392</v>
      </c>
    </row>
    <row r="35" spans="1:18" x14ac:dyDescent="0.15">
      <c r="A35" s="12" t="s">
        <v>101</v>
      </c>
      <c r="B35" s="12">
        <v>0</v>
      </c>
      <c r="C35" s="12">
        <v>2</v>
      </c>
      <c r="D35" s="12">
        <v>117</v>
      </c>
      <c r="E35" s="12">
        <v>0</v>
      </c>
      <c r="F35" s="12">
        <v>2</v>
      </c>
      <c r="G35" s="12">
        <v>0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0</v>
      </c>
      <c r="N35" s="12">
        <v>3</v>
      </c>
      <c r="O35" s="12">
        <v>0</v>
      </c>
      <c r="P35" s="12">
        <v>0</v>
      </c>
      <c r="Q35" s="12">
        <v>2</v>
      </c>
      <c r="R35" s="12">
        <f t="shared" si="0"/>
        <v>127</v>
      </c>
    </row>
    <row r="36" spans="1:18" ht="13.5" customHeight="1" x14ac:dyDescent="0.15">
      <c r="A36" s="13" t="s">
        <v>192</v>
      </c>
      <c r="B36" s="14">
        <f>SUM(B5:B35)</f>
        <v>2</v>
      </c>
      <c r="C36" s="14">
        <f t="shared" ref="C36:R36" si="1">SUM(C5:C35)</f>
        <v>68</v>
      </c>
      <c r="D36" s="14">
        <f t="shared" si="1"/>
        <v>5447</v>
      </c>
      <c r="E36" s="14">
        <f t="shared" si="1"/>
        <v>0</v>
      </c>
      <c r="F36" s="14">
        <f t="shared" si="1"/>
        <v>58</v>
      </c>
      <c r="G36" s="14">
        <f t="shared" si="1"/>
        <v>15</v>
      </c>
      <c r="H36" s="14">
        <f t="shared" si="1"/>
        <v>0</v>
      </c>
      <c r="I36" s="14">
        <f t="shared" si="1"/>
        <v>72</v>
      </c>
      <c r="J36" s="14">
        <f t="shared" si="1"/>
        <v>0</v>
      </c>
      <c r="K36" s="14">
        <f t="shared" si="1"/>
        <v>43</v>
      </c>
      <c r="L36" s="14">
        <f t="shared" si="1"/>
        <v>9</v>
      </c>
      <c r="M36" s="14">
        <f t="shared" si="1"/>
        <v>0</v>
      </c>
      <c r="N36" s="14">
        <f t="shared" si="1"/>
        <v>688</v>
      </c>
      <c r="O36" s="14">
        <f t="shared" si="1"/>
        <v>1</v>
      </c>
      <c r="P36" s="14">
        <f t="shared" si="1"/>
        <v>127</v>
      </c>
      <c r="Q36" s="14">
        <f t="shared" si="1"/>
        <v>78</v>
      </c>
      <c r="R36" s="14">
        <f t="shared" si="1"/>
        <v>6608</v>
      </c>
    </row>
  </sheetData>
  <mergeCells count="2">
    <mergeCell ref="A3:A4"/>
    <mergeCell ref="A1:R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85" zoomScaleNormal="85" workbookViewId="0">
      <selection sqref="A1:Q1"/>
    </sheetView>
  </sheetViews>
  <sheetFormatPr defaultRowHeight="13.5" x14ac:dyDescent="0.15"/>
  <sheetData>
    <row r="1" spans="1:17" ht="18.75" x14ac:dyDescent="0.25">
      <c r="A1" s="51" t="s">
        <v>162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x14ac:dyDescent="0.15">
      <c r="Q2" s="16" t="s">
        <v>65</v>
      </c>
    </row>
    <row r="3" spans="1:17" x14ac:dyDescent="0.15">
      <c r="A3" s="49" t="s">
        <v>102</v>
      </c>
      <c r="B3" s="49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67</v>
      </c>
    </row>
    <row r="4" spans="1:17" ht="40.5" x14ac:dyDescent="0.15">
      <c r="A4" s="50"/>
      <c r="B4" s="50"/>
      <c r="C4" s="7" t="s">
        <v>146</v>
      </c>
      <c r="D4" s="7" t="s">
        <v>39</v>
      </c>
      <c r="E4" s="7" t="s">
        <v>40</v>
      </c>
      <c r="F4" s="7" t="s">
        <v>147</v>
      </c>
      <c r="G4" s="7" t="s">
        <v>41</v>
      </c>
      <c r="H4" s="7" t="s">
        <v>148</v>
      </c>
      <c r="I4" s="7" t="s">
        <v>149</v>
      </c>
      <c r="J4" s="7" t="s">
        <v>151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153</v>
      </c>
      <c r="Q4" s="7" t="s">
        <v>67</v>
      </c>
    </row>
    <row r="5" spans="1:17" x14ac:dyDescent="0.15">
      <c r="A5" s="12" t="s">
        <v>132</v>
      </c>
      <c r="B5" s="12" t="s">
        <v>111</v>
      </c>
      <c r="C5" s="12">
        <v>0</v>
      </c>
      <c r="D5" s="12">
        <v>0</v>
      </c>
      <c r="E5" s="12">
        <v>14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f>SUM(C5:P5)</f>
        <v>14</v>
      </c>
    </row>
    <row r="6" spans="1:17" x14ac:dyDescent="0.15">
      <c r="A6" s="12" t="s">
        <v>132</v>
      </c>
      <c r="B6" s="12" t="s">
        <v>82</v>
      </c>
      <c r="C6" s="12">
        <v>0</v>
      </c>
      <c r="D6" s="12">
        <v>0</v>
      </c>
      <c r="E6" s="12">
        <v>6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f t="shared" ref="Q6:Q34" si="0">SUM(C6:P6)</f>
        <v>6</v>
      </c>
    </row>
    <row r="7" spans="1:17" x14ac:dyDescent="0.15">
      <c r="A7" s="12" t="s">
        <v>131</v>
      </c>
      <c r="B7" s="12" t="s">
        <v>83</v>
      </c>
      <c r="C7" s="12">
        <v>0</v>
      </c>
      <c r="D7" s="12">
        <v>0</v>
      </c>
      <c r="E7" s="12">
        <v>27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4</v>
      </c>
      <c r="O7" s="12">
        <v>0</v>
      </c>
      <c r="P7" s="12">
        <v>0</v>
      </c>
      <c r="Q7" s="12">
        <f t="shared" si="0"/>
        <v>31</v>
      </c>
    </row>
    <row r="8" spans="1:17" x14ac:dyDescent="0.15">
      <c r="A8" s="12" t="s">
        <v>131</v>
      </c>
      <c r="B8" s="12" t="s">
        <v>47</v>
      </c>
      <c r="C8" s="12">
        <v>0</v>
      </c>
      <c r="D8" s="12">
        <v>0</v>
      </c>
      <c r="E8" s="12">
        <v>28</v>
      </c>
      <c r="F8" s="12">
        <v>0</v>
      </c>
      <c r="G8" s="12">
        <v>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5</v>
      </c>
      <c r="O8" s="12">
        <v>0</v>
      </c>
      <c r="P8" s="12">
        <v>0</v>
      </c>
      <c r="Q8" s="12">
        <f t="shared" si="0"/>
        <v>34</v>
      </c>
    </row>
    <row r="9" spans="1:17" x14ac:dyDescent="0.15">
      <c r="A9" s="12" t="s">
        <v>131</v>
      </c>
      <c r="B9" s="12" t="s">
        <v>48</v>
      </c>
      <c r="C9" s="12">
        <v>0</v>
      </c>
      <c r="D9" s="12">
        <v>0</v>
      </c>
      <c r="E9" s="12">
        <v>50</v>
      </c>
      <c r="F9" s="12">
        <v>0</v>
      </c>
      <c r="G9" s="12">
        <v>2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44</v>
      </c>
      <c r="O9" s="12">
        <v>0</v>
      </c>
      <c r="P9" s="12">
        <v>1</v>
      </c>
      <c r="Q9" s="12">
        <f t="shared" si="0"/>
        <v>97</v>
      </c>
    </row>
    <row r="10" spans="1:17" x14ac:dyDescent="0.15">
      <c r="A10" s="12" t="s">
        <v>131</v>
      </c>
      <c r="B10" s="12" t="s">
        <v>84</v>
      </c>
      <c r="C10" s="12">
        <v>0</v>
      </c>
      <c r="D10" s="12">
        <v>0</v>
      </c>
      <c r="E10" s="12">
        <v>35</v>
      </c>
      <c r="F10" s="12">
        <v>0</v>
      </c>
      <c r="G10" s="12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27</v>
      </c>
      <c r="O10" s="12">
        <v>0</v>
      </c>
      <c r="P10" s="12">
        <v>0</v>
      </c>
      <c r="Q10" s="12">
        <f t="shared" si="0"/>
        <v>63</v>
      </c>
    </row>
    <row r="11" spans="1:17" x14ac:dyDescent="0.15">
      <c r="A11" s="12" t="s">
        <v>131</v>
      </c>
      <c r="B11" s="12" t="s">
        <v>133</v>
      </c>
      <c r="C11" s="12">
        <v>0</v>
      </c>
      <c r="D11" s="12">
        <v>0</v>
      </c>
      <c r="E11" s="12">
        <v>35</v>
      </c>
      <c r="F11" s="12">
        <v>0</v>
      </c>
      <c r="G11" s="12">
        <v>2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41</v>
      </c>
      <c r="O11" s="12">
        <v>0</v>
      </c>
      <c r="P11" s="12">
        <v>3</v>
      </c>
      <c r="Q11" s="12">
        <f t="shared" si="0"/>
        <v>81</v>
      </c>
    </row>
    <row r="12" spans="1:17" x14ac:dyDescent="0.15">
      <c r="A12" s="12" t="s">
        <v>134</v>
      </c>
      <c r="B12" s="12" t="s">
        <v>85</v>
      </c>
      <c r="C12" s="12">
        <v>0</v>
      </c>
      <c r="D12" s="12">
        <v>0</v>
      </c>
      <c r="E12" s="12">
        <v>29</v>
      </c>
      <c r="F12" s="12">
        <v>0</v>
      </c>
      <c r="G12" s="12">
        <v>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29</v>
      </c>
      <c r="O12" s="12">
        <v>0</v>
      </c>
      <c r="P12" s="12">
        <v>5</v>
      </c>
      <c r="Q12" s="12">
        <f t="shared" si="0"/>
        <v>65</v>
      </c>
    </row>
    <row r="13" spans="1:17" x14ac:dyDescent="0.15">
      <c r="A13" s="12" t="s">
        <v>134</v>
      </c>
      <c r="B13" s="12" t="s">
        <v>49</v>
      </c>
      <c r="C13" s="12">
        <v>0</v>
      </c>
      <c r="D13" s="12">
        <v>0</v>
      </c>
      <c r="E13" s="12">
        <v>71</v>
      </c>
      <c r="F13" s="12">
        <v>0</v>
      </c>
      <c r="G13" s="12">
        <v>3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26</v>
      </c>
      <c r="O13" s="12">
        <v>0</v>
      </c>
      <c r="P13" s="12">
        <v>1</v>
      </c>
      <c r="Q13" s="12">
        <f t="shared" si="0"/>
        <v>101</v>
      </c>
    </row>
    <row r="14" spans="1:17" x14ac:dyDescent="0.15">
      <c r="A14" s="12" t="s">
        <v>134</v>
      </c>
      <c r="B14" s="12" t="s">
        <v>86</v>
      </c>
      <c r="C14" s="12">
        <v>0</v>
      </c>
      <c r="D14" s="12">
        <v>0</v>
      </c>
      <c r="E14" s="12">
        <v>95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56</v>
      </c>
      <c r="O14" s="12">
        <v>0</v>
      </c>
      <c r="P14" s="12">
        <v>1</v>
      </c>
      <c r="Q14" s="12">
        <f t="shared" si="0"/>
        <v>152</v>
      </c>
    </row>
    <row r="15" spans="1:17" x14ac:dyDescent="0.15">
      <c r="A15" s="12" t="s">
        <v>134</v>
      </c>
      <c r="B15" s="12" t="s">
        <v>87</v>
      </c>
      <c r="C15" s="12">
        <v>0</v>
      </c>
      <c r="D15" s="12">
        <v>0</v>
      </c>
      <c r="E15" s="12">
        <v>160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37</v>
      </c>
      <c r="O15" s="12">
        <v>0</v>
      </c>
      <c r="P15" s="12">
        <v>1</v>
      </c>
      <c r="Q15" s="12">
        <f t="shared" si="0"/>
        <v>198</v>
      </c>
    </row>
    <row r="16" spans="1:17" x14ac:dyDescent="0.15">
      <c r="A16" s="12" t="s">
        <v>135</v>
      </c>
      <c r="B16" s="12" t="s">
        <v>88</v>
      </c>
      <c r="C16" s="12">
        <v>0</v>
      </c>
      <c r="D16" s="12">
        <v>0</v>
      </c>
      <c r="E16" s="12">
        <v>123</v>
      </c>
      <c r="F16" s="12">
        <v>0</v>
      </c>
      <c r="G16" s="12">
        <v>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33</v>
      </c>
      <c r="O16" s="12">
        <v>0</v>
      </c>
      <c r="P16" s="12">
        <v>0</v>
      </c>
      <c r="Q16" s="12">
        <f t="shared" si="0"/>
        <v>158</v>
      </c>
    </row>
    <row r="17" spans="1:17" x14ac:dyDescent="0.15">
      <c r="A17" s="12" t="s">
        <v>135</v>
      </c>
      <c r="B17" s="12" t="s">
        <v>50</v>
      </c>
      <c r="C17" s="12">
        <v>1</v>
      </c>
      <c r="D17" s="12">
        <v>8</v>
      </c>
      <c r="E17" s="12">
        <v>154</v>
      </c>
      <c r="F17" s="12">
        <v>0</v>
      </c>
      <c r="G17" s="12">
        <v>2</v>
      </c>
      <c r="H17" s="12">
        <v>0</v>
      </c>
      <c r="I17" s="12">
        <v>0</v>
      </c>
      <c r="J17" s="12">
        <v>0</v>
      </c>
      <c r="K17" s="12">
        <v>0</v>
      </c>
      <c r="L17" s="12">
        <v>1</v>
      </c>
      <c r="M17" s="12">
        <v>0</v>
      </c>
      <c r="N17" s="12">
        <v>52</v>
      </c>
      <c r="O17" s="12">
        <v>0</v>
      </c>
      <c r="P17" s="12">
        <v>17</v>
      </c>
      <c r="Q17" s="12">
        <f t="shared" si="0"/>
        <v>235</v>
      </c>
    </row>
    <row r="18" spans="1:17" x14ac:dyDescent="0.15">
      <c r="A18" s="12" t="s">
        <v>135</v>
      </c>
      <c r="B18" s="12" t="s">
        <v>89</v>
      </c>
      <c r="C18" s="12">
        <v>0</v>
      </c>
      <c r="D18" s="12">
        <v>2</v>
      </c>
      <c r="E18" s="12">
        <v>191</v>
      </c>
      <c r="F18" s="12">
        <v>0</v>
      </c>
      <c r="G18" s="12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91</v>
      </c>
      <c r="O18" s="12">
        <v>0</v>
      </c>
      <c r="P18" s="12">
        <v>25</v>
      </c>
      <c r="Q18" s="12">
        <f t="shared" si="0"/>
        <v>310</v>
      </c>
    </row>
    <row r="19" spans="1:17" x14ac:dyDescent="0.15">
      <c r="A19" s="12" t="s">
        <v>135</v>
      </c>
      <c r="B19" s="12" t="s">
        <v>51</v>
      </c>
      <c r="C19" s="12">
        <v>1</v>
      </c>
      <c r="D19" s="12">
        <v>6</v>
      </c>
      <c r="E19" s="12">
        <v>321</v>
      </c>
      <c r="F19" s="12">
        <v>0</v>
      </c>
      <c r="G19" s="12">
        <v>0</v>
      </c>
      <c r="H19" s="12">
        <v>13</v>
      </c>
      <c r="I19" s="12">
        <v>0</v>
      </c>
      <c r="J19" s="12">
        <v>0</v>
      </c>
      <c r="K19" s="12">
        <v>0</v>
      </c>
      <c r="L19" s="12">
        <v>8</v>
      </c>
      <c r="M19" s="12">
        <v>0</v>
      </c>
      <c r="N19" s="12">
        <v>75</v>
      </c>
      <c r="O19" s="12">
        <v>0</v>
      </c>
      <c r="P19" s="12">
        <v>10</v>
      </c>
      <c r="Q19" s="12">
        <f t="shared" si="0"/>
        <v>434</v>
      </c>
    </row>
    <row r="20" spans="1:17" x14ac:dyDescent="0.15">
      <c r="A20" s="12" t="s">
        <v>136</v>
      </c>
      <c r="B20" s="12" t="s">
        <v>91</v>
      </c>
      <c r="C20" s="12">
        <v>0</v>
      </c>
      <c r="D20" s="12">
        <v>5</v>
      </c>
      <c r="E20" s="12">
        <v>336</v>
      </c>
      <c r="F20" s="12">
        <v>0</v>
      </c>
      <c r="G20" s="12">
        <v>0</v>
      </c>
      <c r="H20" s="12">
        <v>17</v>
      </c>
      <c r="I20" s="12">
        <v>0</v>
      </c>
      <c r="J20" s="12">
        <v>0</v>
      </c>
      <c r="K20" s="12">
        <v>5</v>
      </c>
      <c r="L20" s="12">
        <v>6</v>
      </c>
      <c r="M20" s="12">
        <v>0</v>
      </c>
      <c r="N20" s="12">
        <v>38</v>
      </c>
      <c r="O20" s="12">
        <v>0</v>
      </c>
      <c r="P20" s="12">
        <v>19</v>
      </c>
      <c r="Q20" s="12">
        <f t="shared" si="0"/>
        <v>426</v>
      </c>
    </row>
    <row r="21" spans="1:17" x14ac:dyDescent="0.15">
      <c r="A21" s="12" t="s">
        <v>136</v>
      </c>
      <c r="B21" s="12" t="s">
        <v>52</v>
      </c>
      <c r="C21" s="12">
        <v>0</v>
      </c>
      <c r="D21" s="12">
        <v>3</v>
      </c>
      <c r="E21" s="12">
        <v>226</v>
      </c>
      <c r="F21" s="12">
        <v>0</v>
      </c>
      <c r="G21" s="12">
        <v>0</v>
      </c>
      <c r="H21" s="12">
        <v>22</v>
      </c>
      <c r="I21" s="12">
        <v>0</v>
      </c>
      <c r="J21" s="12">
        <v>0</v>
      </c>
      <c r="K21" s="12">
        <v>1</v>
      </c>
      <c r="L21" s="12">
        <v>14</v>
      </c>
      <c r="M21" s="12">
        <v>0</v>
      </c>
      <c r="N21" s="12">
        <v>18</v>
      </c>
      <c r="O21" s="12">
        <v>0</v>
      </c>
      <c r="P21" s="12">
        <v>8</v>
      </c>
      <c r="Q21" s="12">
        <f t="shared" si="0"/>
        <v>292</v>
      </c>
    </row>
    <row r="22" spans="1:17" x14ac:dyDescent="0.15">
      <c r="A22" s="12" t="s">
        <v>136</v>
      </c>
      <c r="B22" s="12" t="s">
        <v>53</v>
      </c>
      <c r="C22" s="12">
        <v>0</v>
      </c>
      <c r="D22" s="12">
        <v>2</v>
      </c>
      <c r="E22" s="12">
        <v>309</v>
      </c>
      <c r="F22" s="12">
        <v>0</v>
      </c>
      <c r="G22" s="12">
        <v>0</v>
      </c>
      <c r="H22" s="12">
        <v>23</v>
      </c>
      <c r="I22" s="12">
        <v>0</v>
      </c>
      <c r="J22" s="12">
        <v>0</v>
      </c>
      <c r="K22" s="12">
        <v>0</v>
      </c>
      <c r="L22" s="12">
        <v>7</v>
      </c>
      <c r="M22" s="12">
        <v>0</v>
      </c>
      <c r="N22" s="12">
        <v>16</v>
      </c>
      <c r="O22" s="12">
        <v>0</v>
      </c>
      <c r="P22" s="12">
        <v>16</v>
      </c>
      <c r="Q22" s="12">
        <f t="shared" si="0"/>
        <v>373</v>
      </c>
    </row>
    <row r="23" spans="1:17" x14ac:dyDescent="0.15">
      <c r="A23" s="12" t="s">
        <v>136</v>
      </c>
      <c r="B23" s="12" t="s">
        <v>54</v>
      </c>
      <c r="C23" s="12">
        <v>0</v>
      </c>
      <c r="D23" s="12">
        <v>2</v>
      </c>
      <c r="E23" s="12">
        <v>205</v>
      </c>
      <c r="F23" s="12">
        <v>0</v>
      </c>
      <c r="G23" s="12">
        <v>0</v>
      </c>
      <c r="H23" s="12">
        <v>41</v>
      </c>
      <c r="I23" s="12">
        <v>0</v>
      </c>
      <c r="J23" s="12">
        <v>0</v>
      </c>
      <c r="K23" s="12">
        <v>4</v>
      </c>
      <c r="L23" s="12">
        <v>10</v>
      </c>
      <c r="M23" s="12">
        <v>0</v>
      </c>
      <c r="N23" s="12">
        <v>8</v>
      </c>
      <c r="O23" s="12">
        <v>0</v>
      </c>
      <c r="P23" s="12">
        <v>5</v>
      </c>
      <c r="Q23" s="12">
        <f t="shared" si="0"/>
        <v>275</v>
      </c>
    </row>
    <row r="24" spans="1:17" x14ac:dyDescent="0.15">
      <c r="A24" s="12" t="s">
        <v>136</v>
      </c>
      <c r="B24" s="12" t="s">
        <v>55</v>
      </c>
      <c r="C24" s="12">
        <v>1</v>
      </c>
      <c r="D24" s="12">
        <v>2</v>
      </c>
      <c r="E24" s="12">
        <v>149</v>
      </c>
      <c r="F24" s="12">
        <v>0</v>
      </c>
      <c r="G24" s="12">
        <v>0</v>
      </c>
      <c r="H24" s="12">
        <v>12</v>
      </c>
      <c r="I24" s="12">
        <v>0</v>
      </c>
      <c r="J24" s="12">
        <v>0</v>
      </c>
      <c r="K24" s="12">
        <v>1</v>
      </c>
      <c r="L24" s="12">
        <v>3</v>
      </c>
      <c r="M24" s="12">
        <v>0</v>
      </c>
      <c r="N24" s="12">
        <v>30</v>
      </c>
      <c r="O24" s="12">
        <v>0</v>
      </c>
      <c r="P24" s="12">
        <v>0</v>
      </c>
      <c r="Q24" s="12">
        <f t="shared" si="0"/>
        <v>198</v>
      </c>
    </row>
    <row r="25" spans="1:17" x14ac:dyDescent="0.15">
      <c r="A25" s="12" t="s">
        <v>137</v>
      </c>
      <c r="B25" s="12" t="s">
        <v>93</v>
      </c>
      <c r="C25" s="12">
        <v>0</v>
      </c>
      <c r="D25" s="12">
        <v>4</v>
      </c>
      <c r="E25" s="12">
        <v>156</v>
      </c>
      <c r="F25" s="12">
        <v>0</v>
      </c>
      <c r="G25" s="12">
        <v>0</v>
      </c>
      <c r="H25" s="12">
        <v>8</v>
      </c>
      <c r="I25" s="12">
        <v>0</v>
      </c>
      <c r="J25" s="12">
        <v>0</v>
      </c>
      <c r="K25" s="12">
        <v>1</v>
      </c>
      <c r="L25" s="12">
        <v>2</v>
      </c>
      <c r="M25" s="12">
        <v>0</v>
      </c>
      <c r="N25" s="12">
        <v>17</v>
      </c>
      <c r="O25" s="12">
        <v>0</v>
      </c>
      <c r="P25" s="12">
        <v>0</v>
      </c>
      <c r="Q25" s="12">
        <f t="shared" si="0"/>
        <v>188</v>
      </c>
    </row>
    <row r="26" spans="1:17" x14ac:dyDescent="0.15">
      <c r="A26" s="12" t="s">
        <v>137</v>
      </c>
      <c r="B26" s="12" t="s">
        <v>94</v>
      </c>
      <c r="C26" s="12">
        <v>1</v>
      </c>
      <c r="D26" s="12">
        <v>3</v>
      </c>
      <c r="E26" s="12">
        <v>268</v>
      </c>
      <c r="F26" s="12">
        <v>0</v>
      </c>
      <c r="G26" s="12">
        <v>0</v>
      </c>
      <c r="H26" s="12">
        <v>12</v>
      </c>
      <c r="I26" s="12">
        <v>0</v>
      </c>
      <c r="J26" s="12">
        <v>0</v>
      </c>
      <c r="K26" s="12">
        <v>1</v>
      </c>
      <c r="L26" s="12">
        <v>1</v>
      </c>
      <c r="M26" s="12">
        <v>0</v>
      </c>
      <c r="N26" s="12">
        <v>13</v>
      </c>
      <c r="O26" s="12">
        <v>0</v>
      </c>
      <c r="P26" s="12">
        <v>22</v>
      </c>
      <c r="Q26" s="12">
        <f t="shared" si="0"/>
        <v>321</v>
      </c>
    </row>
    <row r="27" spans="1:17" x14ac:dyDescent="0.15">
      <c r="A27" s="12" t="s">
        <v>137</v>
      </c>
      <c r="B27" s="12" t="s">
        <v>56</v>
      </c>
      <c r="C27" s="12">
        <v>0</v>
      </c>
      <c r="D27" s="12">
        <v>2</v>
      </c>
      <c r="E27" s="12">
        <v>210</v>
      </c>
      <c r="F27" s="12">
        <v>0</v>
      </c>
      <c r="G27" s="12">
        <v>0</v>
      </c>
      <c r="H27" s="12">
        <v>2</v>
      </c>
      <c r="I27" s="12">
        <v>0</v>
      </c>
      <c r="J27" s="12">
        <v>0</v>
      </c>
      <c r="K27" s="12">
        <v>0</v>
      </c>
      <c r="L27" s="12">
        <v>9</v>
      </c>
      <c r="M27" s="12">
        <v>0</v>
      </c>
      <c r="N27" s="12">
        <v>24</v>
      </c>
      <c r="O27" s="12">
        <v>0</v>
      </c>
      <c r="P27" s="12">
        <v>5</v>
      </c>
      <c r="Q27" s="12">
        <f t="shared" si="0"/>
        <v>252</v>
      </c>
    </row>
    <row r="28" spans="1:17" x14ac:dyDescent="0.15">
      <c r="A28" s="12" t="s">
        <v>138</v>
      </c>
      <c r="B28" s="12" t="s">
        <v>97</v>
      </c>
      <c r="C28" s="12">
        <v>0</v>
      </c>
      <c r="D28" s="12">
        <v>2</v>
      </c>
      <c r="E28" s="12">
        <v>340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1</v>
      </c>
      <c r="O28" s="12">
        <v>0</v>
      </c>
      <c r="P28" s="12">
        <v>25</v>
      </c>
      <c r="Q28" s="12">
        <f t="shared" si="0"/>
        <v>368</v>
      </c>
    </row>
    <row r="29" spans="1:17" x14ac:dyDescent="0.15">
      <c r="A29" s="12" t="s">
        <v>138</v>
      </c>
      <c r="B29" s="12" t="s">
        <v>98</v>
      </c>
      <c r="C29" s="12">
        <v>0</v>
      </c>
      <c r="D29" s="12">
        <v>0</v>
      </c>
      <c r="E29" s="12">
        <v>243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3</v>
      </c>
      <c r="O29" s="12">
        <v>0</v>
      </c>
      <c r="P29" s="12">
        <v>0</v>
      </c>
      <c r="Q29" s="12">
        <f t="shared" si="0"/>
        <v>246</v>
      </c>
    </row>
    <row r="30" spans="1:17" x14ac:dyDescent="0.15">
      <c r="A30" s="12" t="s">
        <v>138</v>
      </c>
      <c r="B30" s="12" t="s">
        <v>99</v>
      </c>
      <c r="C30" s="12">
        <v>0</v>
      </c>
      <c r="D30" s="12">
        <v>4</v>
      </c>
      <c r="E30" s="12">
        <v>310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1</v>
      </c>
      <c r="O30" s="12">
        <v>0</v>
      </c>
      <c r="P30" s="12">
        <v>1</v>
      </c>
      <c r="Q30" s="12">
        <f t="shared" si="0"/>
        <v>316</v>
      </c>
    </row>
    <row r="31" spans="1:17" x14ac:dyDescent="0.15">
      <c r="A31" s="12" t="s">
        <v>138</v>
      </c>
      <c r="B31" s="12" t="s">
        <v>100</v>
      </c>
      <c r="C31" s="12">
        <v>0</v>
      </c>
      <c r="D31" s="12">
        <v>2</v>
      </c>
      <c r="E31" s="12">
        <v>350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3</v>
      </c>
      <c r="O31" s="12">
        <v>0</v>
      </c>
      <c r="P31" s="12">
        <v>1</v>
      </c>
      <c r="Q31" s="12">
        <f t="shared" si="0"/>
        <v>356</v>
      </c>
    </row>
    <row r="32" spans="1:17" x14ac:dyDescent="0.15">
      <c r="A32" s="12" t="s">
        <v>138</v>
      </c>
      <c r="B32" s="12" t="s">
        <v>139</v>
      </c>
      <c r="C32" s="12">
        <v>0</v>
      </c>
      <c r="D32" s="12">
        <v>1</v>
      </c>
      <c r="E32" s="12">
        <v>79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1</v>
      </c>
      <c r="O32" s="12">
        <v>0</v>
      </c>
      <c r="P32" s="12">
        <v>0</v>
      </c>
      <c r="Q32" s="12">
        <f t="shared" si="0"/>
        <v>81</v>
      </c>
    </row>
    <row r="33" spans="1:17" x14ac:dyDescent="0.15">
      <c r="A33" s="12" t="s">
        <v>140</v>
      </c>
      <c r="B33" s="12" t="s">
        <v>112</v>
      </c>
      <c r="C33" s="12">
        <v>0</v>
      </c>
      <c r="D33" s="12">
        <v>0</v>
      </c>
      <c r="E33" s="12">
        <v>222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2</v>
      </c>
      <c r="M33" s="12">
        <v>0</v>
      </c>
      <c r="N33" s="12">
        <v>1</v>
      </c>
      <c r="O33" s="12">
        <v>0</v>
      </c>
      <c r="P33" s="12">
        <v>0</v>
      </c>
      <c r="Q33" s="12">
        <f t="shared" si="0"/>
        <v>225</v>
      </c>
    </row>
    <row r="34" spans="1:17" x14ac:dyDescent="0.15">
      <c r="A34" s="12" t="s">
        <v>140</v>
      </c>
      <c r="B34" s="12" t="s">
        <v>101</v>
      </c>
      <c r="C34" s="12">
        <v>0</v>
      </c>
      <c r="D34" s="12">
        <v>0</v>
      </c>
      <c r="E34" s="12">
        <v>168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1</v>
      </c>
      <c r="O34" s="12">
        <v>0</v>
      </c>
      <c r="P34" s="12">
        <v>0</v>
      </c>
      <c r="Q34" s="12">
        <f t="shared" si="0"/>
        <v>169</v>
      </c>
    </row>
    <row r="35" spans="1:17" x14ac:dyDescent="0.15">
      <c r="A35" s="52" t="s">
        <v>163</v>
      </c>
      <c r="B35" s="53"/>
      <c r="C35" s="14">
        <f>SUM(C5:C34)</f>
        <v>4</v>
      </c>
      <c r="D35" s="14">
        <f t="shared" ref="D35:Q35" si="1">SUM(D5:D34)</f>
        <v>48</v>
      </c>
      <c r="E35" s="14">
        <f t="shared" si="1"/>
        <v>4910</v>
      </c>
      <c r="F35" s="14">
        <f t="shared" si="1"/>
        <v>0</v>
      </c>
      <c r="G35" s="14">
        <f t="shared" si="1"/>
        <v>16</v>
      </c>
      <c r="H35" s="14">
        <f t="shared" si="1"/>
        <v>150</v>
      </c>
      <c r="I35" s="14">
        <f t="shared" si="1"/>
        <v>0</v>
      </c>
      <c r="J35" s="14">
        <f t="shared" si="1"/>
        <v>0</v>
      </c>
      <c r="K35" s="14">
        <f t="shared" si="1"/>
        <v>13</v>
      </c>
      <c r="L35" s="14">
        <f t="shared" si="1"/>
        <v>63</v>
      </c>
      <c r="M35" s="14">
        <f t="shared" si="1"/>
        <v>0</v>
      </c>
      <c r="N35" s="14">
        <f t="shared" si="1"/>
        <v>695</v>
      </c>
      <c r="O35" s="14">
        <f t="shared" si="1"/>
        <v>0</v>
      </c>
      <c r="P35" s="14">
        <f t="shared" si="1"/>
        <v>166</v>
      </c>
      <c r="Q35" s="14">
        <f t="shared" si="1"/>
        <v>6065</v>
      </c>
    </row>
  </sheetData>
  <mergeCells count="4">
    <mergeCell ref="A1:Q1"/>
    <mergeCell ref="A3:A4"/>
    <mergeCell ref="B3:B4"/>
    <mergeCell ref="A35:B3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85" zoomScaleNormal="85" workbookViewId="0">
      <selection sqref="A1:Q1"/>
    </sheetView>
  </sheetViews>
  <sheetFormatPr defaultRowHeight="13.5" x14ac:dyDescent="0.15"/>
  <sheetData>
    <row r="1" spans="1:17" ht="18.75" x14ac:dyDescent="0.25">
      <c r="A1" s="51" t="s">
        <v>164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x14ac:dyDescent="0.15">
      <c r="Q2" s="16" t="s">
        <v>65</v>
      </c>
    </row>
    <row r="3" spans="1:17" x14ac:dyDescent="0.15">
      <c r="A3" s="49" t="s">
        <v>102</v>
      </c>
      <c r="B3" s="49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67</v>
      </c>
    </row>
    <row r="4" spans="1:17" ht="40.5" x14ac:dyDescent="0.15">
      <c r="A4" s="50"/>
      <c r="B4" s="50"/>
      <c r="C4" s="7" t="s">
        <v>146</v>
      </c>
      <c r="D4" s="7" t="s">
        <v>39</v>
      </c>
      <c r="E4" s="7" t="s">
        <v>40</v>
      </c>
      <c r="F4" s="7" t="s">
        <v>147</v>
      </c>
      <c r="G4" s="7" t="s">
        <v>41</v>
      </c>
      <c r="H4" s="7" t="s">
        <v>148</v>
      </c>
      <c r="I4" s="7" t="s">
        <v>149</v>
      </c>
      <c r="J4" s="7" t="s">
        <v>151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153</v>
      </c>
      <c r="Q4" s="7" t="s">
        <v>67</v>
      </c>
    </row>
    <row r="5" spans="1:17" x14ac:dyDescent="0.15">
      <c r="A5" s="12" t="s">
        <v>123</v>
      </c>
      <c r="B5" s="12" t="s">
        <v>2</v>
      </c>
      <c r="C5" s="12">
        <v>0</v>
      </c>
      <c r="D5" s="12">
        <v>0</v>
      </c>
      <c r="E5" s="12">
        <v>43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f>SUM(C5:P5)</f>
        <v>43</v>
      </c>
    </row>
    <row r="6" spans="1:17" x14ac:dyDescent="0.15">
      <c r="A6" s="12" t="s">
        <v>123</v>
      </c>
      <c r="B6" s="12" t="s">
        <v>3</v>
      </c>
      <c r="C6" s="12">
        <v>0</v>
      </c>
      <c r="D6" s="12">
        <v>0</v>
      </c>
      <c r="E6" s="12">
        <v>34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f t="shared" ref="Q6:Q33" si="0">SUM(C6:P6)</f>
        <v>34</v>
      </c>
    </row>
    <row r="7" spans="1:17" x14ac:dyDescent="0.15">
      <c r="A7" s="12" t="s">
        <v>124</v>
      </c>
      <c r="B7" s="12" t="s">
        <v>5</v>
      </c>
      <c r="C7" s="12">
        <v>0</v>
      </c>
      <c r="D7" s="12">
        <v>0</v>
      </c>
      <c r="E7" s="12">
        <v>31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f t="shared" si="0"/>
        <v>31</v>
      </c>
    </row>
    <row r="8" spans="1:17" x14ac:dyDescent="0.15">
      <c r="A8" s="12" t="s">
        <v>124</v>
      </c>
      <c r="B8" s="12" t="s">
        <v>6</v>
      </c>
      <c r="C8" s="12">
        <v>0</v>
      </c>
      <c r="D8" s="12">
        <v>0</v>
      </c>
      <c r="E8" s="12">
        <v>134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21</v>
      </c>
      <c r="N8" s="12">
        <v>0</v>
      </c>
      <c r="O8" s="12">
        <v>0</v>
      </c>
      <c r="P8" s="12">
        <v>0</v>
      </c>
      <c r="Q8" s="12">
        <f t="shared" si="0"/>
        <v>155</v>
      </c>
    </row>
    <row r="9" spans="1:17" x14ac:dyDescent="0.15">
      <c r="A9" s="12" t="s">
        <v>124</v>
      </c>
      <c r="B9" s="12" t="s">
        <v>7</v>
      </c>
      <c r="C9" s="12">
        <v>0</v>
      </c>
      <c r="D9" s="12">
        <v>0</v>
      </c>
      <c r="E9" s="12">
        <v>167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18</v>
      </c>
      <c r="N9" s="12">
        <v>0</v>
      </c>
      <c r="O9" s="12">
        <v>6</v>
      </c>
      <c r="P9" s="12">
        <v>0</v>
      </c>
      <c r="Q9" s="12">
        <f t="shared" si="0"/>
        <v>191</v>
      </c>
    </row>
    <row r="10" spans="1:17" x14ac:dyDescent="0.15">
      <c r="A10" s="12" t="s">
        <v>124</v>
      </c>
      <c r="B10" s="12" t="s">
        <v>58</v>
      </c>
      <c r="C10" s="12">
        <v>0</v>
      </c>
      <c r="D10" s="12">
        <v>0</v>
      </c>
      <c r="E10" s="12">
        <v>59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15</v>
      </c>
      <c r="N10" s="12">
        <v>0</v>
      </c>
      <c r="O10" s="12">
        <v>1</v>
      </c>
      <c r="P10" s="12">
        <v>0</v>
      </c>
      <c r="Q10" s="12">
        <f t="shared" si="0"/>
        <v>75</v>
      </c>
    </row>
    <row r="11" spans="1:17" x14ac:dyDescent="0.15">
      <c r="A11" s="12" t="s">
        <v>125</v>
      </c>
      <c r="B11" s="12" t="s">
        <v>72</v>
      </c>
      <c r="C11" s="12">
        <v>0</v>
      </c>
      <c r="D11" s="12">
        <v>0</v>
      </c>
      <c r="E11" s="12">
        <v>168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14</v>
      </c>
      <c r="N11" s="12">
        <v>0</v>
      </c>
      <c r="O11" s="12">
        <v>3</v>
      </c>
      <c r="P11" s="12">
        <v>0</v>
      </c>
      <c r="Q11" s="12">
        <f t="shared" si="0"/>
        <v>185</v>
      </c>
    </row>
    <row r="12" spans="1:17" x14ac:dyDescent="0.15">
      <c r="A12" s="12" t="s">
        <v>125</v>
      </c>
      <c r="B12" s="12" t="s">
        <v>73</v>
      </c>
      <c r="C12" s="12">
        <v>0</v>
      </c>
      <c r="D12" s="12">
        <v>0</v>
      </c>
      <c r="E12" s="12">
        <v>177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10</v>
      </c>
      <c r="N12" s="12">
        <v>0</v>
      </c>
      <c r="O12" s="12">
        <v>2</v>
      </c>
      <c r="P12" s="12">
        <v>0</v>
      </c>
      <c r="Q12" s="12">
        <f t="shared" si="0"/>
        <v>189</v>
      </c>
    </row>
    <row r="13" spans="1:17" x14ac:dyDescent="0.15">
      <c r="A13" s="12" t="s">
        <v>125</v>
      </c>
      <c r="B13" s="12" t="s">
        <v>74</v>
      </c>
      <c r="C13" s="12">
        <v>0</v>
      </c>
      <c r="D13" s="12">
        <v>0</v>
      </c>
      <c r="E13" s="12">
        <v>254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29</v>
      </c>
      <c r="N13" s="12">
        <v>0</v>
      </c>
      <c r="O13" s="12">
        <v>3</v>
      </c>
      <c r="P13" s="12">
        <v>0</v>
      </c>
      <c r="Q13" s="12">
        <f t="shared" si="0"/>
        <v>286</v>
      </c>
    </row>
    <row r="14" spans="1:17" x14ac:dyDescent="0.15">
      <c r="A14" s="12" t="s">
        <v>125</v>
      </c>
      <c r="B14" s="12" t="s">
        <v>59</v>
      </c>
      <c r="C14" s="12">
        <v>0</v>
      </c>
      <c r="D14" s="12">
        <v>0</v>
      </c>
      <c r="E14" s="12">
        <v>501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18</v>
      </c>
      <c r="N14" s="12">
        <v>0</v>
      </c>
      <c r="O14" s="12">
        <v>3</v>
      </c>
      <c r="P14" s="12">
        <v>0</v>
      </c>
      <c r="Q14" s="12">
        <f t="shared" si="0"/>
        <v>522</v>
      </c>
    </row>
    <row r="15" spans="1:17" x14ac:dyDescent="0.15">
      <c r="A15" s="12" t="s">
        <v>126</v>
      </c>
      <c r="B15" s="12" t="s">
        <v>76</v>
      </c>
      <c r="C15" s="12">
        <v>0</v>
      </c>
      <c r="D15" s="12">
        <v>0</v>
      </c>
      <c r="E15" s="12">
        <v>597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23</v>
      </c>
      <c r="N15" s="12">
        <v>0</v>
      </c>
      <c r="O15" s="12">
        <v>3</v>
      </c>
      <c r="P15" s="12">
        <v>0</v>
      </c>
      <c r="Q15" s="12">
        <f t="shared" si="0"/>
        <v>623</v>
      </c>
    </row>
    <row r="16" spans="1:17" x14ac:dyDescent="0.15">
      <c r="A16" s="12" t="s">
        <v>126</v>
      </c>
      <c r="B16" s="12" t="s">
        <v>60</v>
      </c>
      <c r="C16" s="12">
        <v>0</v>
      </c>
      <c r="D16" s="12">
        <v>1</v>
      </c>
      <c r="E16" s="12">
        <v>287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43</v>
      </c>
      <c r="N16" s="12">
        <v>0</v>
      </c>
      <c r="O16" s="12">
        <v>2</v>
      </c>
      <c r="P16" s="12">
        <v>0</v>
      </c>
      <c r="Q16" s="12">
        <f t="shared" si="0"/>
        <v>333</v>
      </c>
    </row>
    <row r="17" spans="1:17" x14ac:dyDescent="0.15">
      <c r="A17" s="12" t="s">
        <v>126</v>
      </c>
      <c r="B17" s="12" t="s">
        <v>61</v>
      </c>
      <c r="C17" s="12">
        <v>0</v>
      </c>
      <c r="D17" s="12">
        <v>0</v>
      </c>
      <c r="E17" s="12">
        <v>408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31</v>
      </c>
      <c r="N17" s="12">
        <v>0</v>
      </c>
      <c r="O17" s="12">
        <v>3</v>
      </c>
      <c r="P17" s="12">
        <v>0</v>
      </c>
      <c r="Q17" s="12">
        <f t="shared" si="0"/>
        <v>442</v>
      </c>
    </row>
    <row r="18" spans="1:17" x14ac:dyDescent="0.15">
      <c r="A18" s="12" t="s">
        <v>126</v>
      </c>
      <c r="B18" s="12" t="s">
        <v>62</v>
      </c>
      <c r="C18" s="12">
        <v>0</v>
      </c>
      <c r="D18" s="12">
        <v>0</v>
      </c>
      <c r="E18" s="12">
        <v>490</v>
      </c>
      <c r="F18" s="12">
        <v>0</v>
      </c>
      <c r="G18" s="12">
        <v>0</v>
      </c>
      <c r="H18" s="12">
        <v>0</v>
      </c>
      <c r="I18" s="12">
        <v>8</v>
      </c>
      <c r="J18" s="12">
        <v>0</v>
      </c>
      <c r="K18" s="12">
        <v>7</v>
      </c>
      <c r="L18" s="12">
        <v>0</v>
      </c>
      <c r="M18" s="12">
        <v>51</v>
      </c>
      <c r="N18" s="12">
        <v>0</v>
      </c>
      <c r="O18" s="12">
        <v>3</v>
      </c>
      <c r="P18" s="12">
        <v>0</v>
      </c>
      <c r="Q18" s="12">
        <f t="shared" si="0"/>
        <v>559</v>
      </c>
    </row>
    <row r="19" spans="1:17" x14ac:dyDescent="0.15">
      <c r="A19" s="12" t="s">
        <v>126</v>
      </c>
      <c r="B19" s="12" t="s">
        <v>8</v>
      </c>
      <c r="C19" s="12">
        <v>0</v>
      </c>
      <c r="D19" s="12">
        <v>1</v>
      </c>
      <c r="E19" s="12">
        <v>368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113</v>
      </c>
      <c r="N19" s="12">
        <v>0</v>
      </c>
      <c r="O19" s="12">
        <v>5</v>
      </c>
      <c r="P19" s="12">
        <v>0</v>
      </c>
      <c r="Q19" s="12">
        <f t="shared" si="0"/>
        <v>487</v>
      </c>
    </row>
    <row r="20" spans="1:17" x14ac:dyDescent="0.15">
      <c r="A20" s="12" t="s">
        <v>127</v>
      </c>
      <c r="B20" s="12" t="s">
        <v>9</v>
      </c>
      <c r="C20" s="12">
        <v>0</v>
      </c>
      <c r="D20" s="12">
        <v>1</v>
      </c>
      <c r="E20" s="12">
        <v>147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119</v>
      </c>
      <c r="N20" s="12">
        <v>0</v>
      </c>
      <c r="O20" s="12">
        <v>7</v>
      </c>
      <c r="P20" s="12">
        <v>0</v>
      </c>
      <c r="Q20" s="12">
        <f t="shared" si="0"/>
        <v>274</v>
      </c>
    </row>
    <row r="21" spans="1:17" x14ac:dyDescent="0.15">
      <c r="A21" s="12" t="s">
        <v>127</v>
      </c>
      <c r="B21" s="12" t="s">
        <v>10</v>
      </c>
      <c r="C21" s="12">
        <v>0</v>
      </c>
      <c r="D21" s="12">
        <v>1</v>
      </c>
      <c r="E21" s="12">
        <v>182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70</v>
      </c>
      <c r="N21" s="12">
        <v>0</v>
      </c>
      <c r="O21" s="12">
        <v>1</v>
      </c>
      <c r="P21" s="12">
        <v>0</v>
      </c>
      <c r="Q21" s="12">
        <f t="shared" si="0"/>
        <v>254</v>
      </c>
    </row>
    <row r="22" spans="1:17" x14ac:dyDescent="0.15">
      <c r="A22" s="12" t="s">
        <v>127</v>
      </c>
      <c r="B22" s="12" t="s">
        <v>11</v>
      </c>
      <c r="C22" s="12">
        <v>0</v>
      </c>
      <c r="D22" s="12">
        <v>0</v>
      </c>
      <c r="E22" s="12">
        <v>202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109</v>
      </c>
      <c r="N22" s="12">
        <v>0</v>
      </c>
      <c r="O22" s="12">
        <v>0</v>
      </c>
      <c r="P22" s="12">
        <v>0</v>
      </c>
      <c r="Q22" s="12">
        <f t="shared" si="0"/>
        <v>311</v>
      </c>
    </row>
    <row r="23" spans="1:17" x14ac:dyDescent="0.15">
      <c r="A23" s="12" t="s">
        <v>127</v>
      </c>
      <c r="B23" s="12" t="s">
        <v>119</v>
      </c>
      <c r="C23" s="12">
        <v>0</v>
      </c>
      <c r="D23" s="12">
        <v>0</v>
      </c>
      <c r="E23" s="12">
        <v>208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33</v>
      </c>
      <c r="N23" s="12">
        <v>0</v>
      </c>
      <c r="O23" s="12">
        <v>2</v>
      </c>
      <c r="P23" s="12">
        <v>0</v>
      </c>
      <c r="Q23" s="12">
        <f t="shared" si="0"/>
        <v>243</v>
      </c>
    </row>
    <row r="24" spans="1:17" x14ac:dyDescent="0.15">
      <c r="A24" s="12" t="s">
        <v>128</v>
      </c>
      <c r="B24" s="12" t="s">
        <v>12</v>
      </c>
      <c r="C24" s="12">
        <v>0</v>
      </c>
      <c r="D24" s="12">
        <v>4</v>
      </c>
      <c r="E24" s="12">
        <v>538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74</v>
      </c>
      <c r="N24" s="12">
        <v>0</v>
      </c>
      <c r="O24" s="12">
        <v>22</v>
      </c>
      <c r="P24" s="12">
        <v>1</v>
      </c>
      <c r="Q24" s="12">
        <f t="shared" si="0"/>
        <v>639</v>
      </c>
    </row>
    <row r="25" spans="1:17" x14ac:dyDescent="0.15">
      <c r="A25" s="12" t="s">
        <v>128</v>
      </c>
      <c r="B25" s="12" t="s">
        <v>13</v>
      </c>
      <c r="C25" s="12">
        <v>0</v>
      </c>
      <c r="D25" s="12">
        <v>3</v>
      </c>
      <c r="E25" s="12">
        <v>436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5</v>
      </c>
      <c r="L25" s="12">
        <v>0</v>
      </c>
      <c r="M25" s="12">
        <v>48</v>
      </c>
      <c r="N25" s="12">
        <v>0</v>
      </c>
      <c r="O25" s="12">
        <v>3</v>
      </c>
      <c r="P25" s="12">
        <v>0</v>
      </c>
      <c r="Q25" s="12">
        <f t="shared" si="0"/>
        <v>495</v>
      </c>
    </row>
    <row r="26" spans="1:17" x14ac:dyDescent="0.15">
      <c r="A26" s="12" t="s">
        <v>128</v>
      </c>
      <c r="B26" s="12" t="s">
        <v>14</v>
      </c>
      <c r="C26" s="12">
        <v>0</v>
      </c>
      <c r="D26" s="12">
        <v>5</v>
      </c>
      <c r="E26" s="12">
        <v>840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87</v>
      </c>
      <c r="N26" s="12">
        <v>0</v>
      </c>
      <c r="O26" s="12">
        <v>5</v>
      </c>
      <c r="P26" s="12">
        <v>0</v>
      </c>
      <c r="Q26" s="12">
        <f t="shared" si="0"/>
        <v>937</v>
      </c>
    </row>
    <row r="27" spans="1:17" x14ac:dyDescent="0.15">
      <c r="A27" s="12" t="s">
        <v>128</v>
      </c>
      <c r="B27" s="12" t="s">
        <v>15</v>
      </c>
      <c r="C27" s="12">
        <v>0</v>
      </c>
      <c r="D27" s="12">
        <v>5</v>
      </c>
      <c r="E27" s="12">
        <v>533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44</v>
      </c>
      <c r="N27" s="12">
        <v>0</v>
      </c>
      <c r="O27" s="12">
        <v>0</v>
      </c>
      <c r="P27" s="12">
        <v>0</v>
      </c>
      <c r="Q27" s="12">
        <f t="shared" si="0"/>
        <v>582</v>
      </c>
    </row>
    <row r="28" spans="1:17" x14ac:dyDescent="0.15">
      <c r="A28" s="12" t="s">
        <v>129</v>
      </c>
      <c r="B28" s="12" t="s">
        <v>17</v>
      </c>
      <c r="C28" s="12">
        <v>0</v>
      </c>
      <c r="D28" s="12">
        <v>4</v>
      </c>
      <c r="E28" s="12">
        <v>442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51</v>
      </c>
      <c r="N28" s="12">
        <v>0</v>
      </c>
      <c r="O28" s="12">
        <v>0</v>
      </c>
      <c r="P28" s="12">
        <v>0</v>
      </c>
      <c r="Q28" s="12">
        <f t="shared" si="0"/>
        <v>497</v>
      </c>
    </row>
    <row r="29" spans="1:17" x14ac:dyDescent="0.15">
      <c r="A29" s="12" t="s">
        <v>129</v>
      </c>
      <c r="B29" s="12" t="s">
        <v>18</v>
      </c>
      <c r="C29" s="12">
        <v>0</v>
      </c>
      <c r="D29" s="12">
        <v>7</v>
      </c>
      <c r="E29" s="12">
        <v>542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16</v>
      </c>
      <c r="N29" s="12">
        <v>0</v>
      </c>
      <c r="O29" s="12">
        <v>0</v>
      </c>
      <c r="P29" s="12">
        <v>0</v>
      </c>
      <c r="Q29" s="12">
        <f t="shared" si="0"/>
        <v>565</v>
      </c>
    </row>
    <row r="30" spans="1:17" x14ac:dyDescent="0.15">
      <c r="A30" s="12" t="s">
        <v>129</v>
      </c>
      <c r="B30" s="12" t="s">
        <v>19</v>
      </c>
      <c r="C30" s="12">
        <v>0</v>
      </c>
      <c r="D30" s="12">
        <v>12</v>
      </c>
      <c r="E30" s="12">
        <v>284</v>
      </c>
      <c r="F30" s="12">
        <v>0</v>
      </c>
      <c r="G30" s="12">
        <v>0</v>
      </c>
      <c r="H30" s="12">
        <v>0</v>
      </c>
      <c r="I30" s="12">
        <v>0</v>
      </c>
      <c r="J30" s="12"/>
      <c r="K30" s="12">
        <v>0</v>
      </c>
      <c r="L30" s="12">
        <v>0</v>
      </c>
      <c r="M30" s="12">
        <v>12</v>
      </c>
      <c r="N30" s="12">
        <v>0</v>
      </c>
      <c r="O30" s="12">
        <v>2</v>
      </c>
      <c r="P30" s="12">
        <v>0</v>
      </c>
      <c r="Q30" s="12">
        <f t="shared" si="0"/>
        <v>310</v>
      </c>
    </row>
    <row r="31" spans="1:17" x14ac:dyDescent="0.15">
      <c r="A31" s="12" t="s">
        <v>129</v>
      </c>
      <c r="B31" s="12" t="s">
        <v>64</v>
      </c>
      <c r="C31" s="12">
        <v>0</v>
      </c>
      <c r="D31" s="12">
        <v>1</v>
      </c>
      <c r="E31" s="12">
        <v>140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f t="shared" si="0"/>
        <v>142</v>
      </c>
    </row>
    <row r="32" spans="1:17" x14ac:dyDescent="0.15">
      <c r="A32" s="12" t="s">
        <v>130</v>
      </c>
      <c r="B32" s="12" t="s">
        <v>20</v>
      </c>
      <c r="C32" s="12">
        <v>0</v>
      </c>
      <c r="D32" s="12">
        <v>3</v>
      </c>
      <c r="E32" s="12">
        <v>133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2</v>
      </c>
      <c r="N32" s="12">
        <v>0</v>
      </c>
      <c r="O32" s="12">
        <v>1</v>
      </c>
      <c r="P32" s="12">
        <v>0</v>
      </c>
      <c r="Q32" s="12">
        <f t="shared" si="0"/>
        <v>139</v>
      </c>
    </row>
    <row r="33" spans="1:17" x14ac:dyDescent="0.15">
      <c r="A33" s="12" t="s">
        <v>130</v>
      </c>
      <c r="B33" s="12" t="s">
        <v>21</v>
      </c>
      <c r="C33" s="12">
        <v>0</v>
      </c>
      <c r="D33" s="12">
        <v>3</v>
      </c>
      <c r="E33" s="12">
        <v>140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3</v>
      </c>
      <c r="N33" s="12">
        <v>0</v>
      </c>
      <c r="O33" s="12">
        <v>0</v>
      </c>
      <c r="P33" s="12">
        <v>0</v>
      </c>
      <c r="Q33" s="12">
        <f t="shared" si="0"/>
        <v>146</v>
      </c>
    </row>
    <row r="34" spans="1:17" x14ac:dyDescent="0.15">
      <c r="A34" s="52" t="s">
        <v>165</v>
      </c>
      <c r="B34" s="53"/>
      <c r="C34" s="14">
        <f>SUM(C5:C33)</f>
        <v>0</v>
      </c>
      <c r="D34" s="14">
        <f t="shared" ref="D34:Q34" si="1">SUM(D5:D33)</f>
        <v>51</v>
      </c>
      <c r="E34" s="14">
        <f t="shared" si="1"/>
        <v>8485</v>
      </c>
      <c r="F34" s="14">
        <f t="shared" si="1"/>
        <v>0</v>
      </c>
      <c r="G34" s="14">
        <f t="shared" si="1"/>
        <v>0</v>
      </c>
      <c r="H34" s="14">
        <f t="shared" si="1"/>
        <v>0</v>
      </c>
      <c r="I34" s="14">
        <f t="shared" si="1"/>
        <v>8</v>
      </c>
      <c r="J34" s="14">
        <f t="shared" si="1"/>
        <v>0</v>
      </c>
      <c r="K34" s="14">
        <f t="shared" si="1"/>
        <v>12</v>
      </c>
      <c r="L34" s="14">
        <f t="shared" si="1"/>
        <v>0</v>
      </c>
      <c r="M34" s="14">
        <f t="shared" si="1"/>
        <v>1055</v>
      </c>
      <c r="N34" s="14">
        <f t="shared" si="1"/>
        <v>0</v>
      </c>
      <c r="O34" s="14">
        <f t="shared" si="1"/>
        <v>77</v>
      </c>
      <c r="P34" s="14">
        <f t="shared" si="1"/>
        <v>1</v>
      </c>
      <c r="Q34" s="14">
        <f t="shared" si="1"/>
        <v>9689</v>
      </c>
    </row>
    <row r="35" spans="1:17" x14ac:dyDescent="0.1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</sheetData>
  <mergeCells count="4">
    <mergeCell ref="A1:Q1"/>
    <mergeCell ref="A34:B34"/>
    <mergeCell ref="A3:A4"/>
    <mergeCell ref="B3:B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zoomScale="85" zoomScaleNormal="85" workbookViewId="0">
      <selection sqref="A1:Q1"/>
    </sheetView>
  </sheetViews>
  <sheetFormatPr defaultRowHeight="13.5" x14ac:dyDescent="0.15"/>
  <sheetData>
    <row r="1" spans="1:17" ht="18.75" x14ac:dyDescent="0.25">
      <c r="A1" s="51" t="s">
        <v>166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x14ac:dyDescent="0.15">
      <c r="Q2" s="16" t="s">
        <v>65</v>
      </c>
    </row>
    <row r="3" spans="1:17" x14ac:dyDescent="0.15">
      <c r="A3" s="49" t="s">
        <v>102</v>
      </c>
      <c r="B3" s="49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67</v>
      </c>
    </row>
    <row r="4" spans="1:17" ht="40.5" x14ac:dyDescent="0.15">
      <c r="A4" s="50"/>
      <c r="B4" s="50"/>
      <c r="C4" s="7" t="s">
        <v>146</v>
      </c>
      <c r="D4" s="7" t="s">
        <v>39</v>
      </c>
      <c r="E4" s="7" t="s">
        <v>40</v>
      </c>
      <c r="F4" s="7" t="s">
        <v>147</v>
      </c>
      <c r="G4" s="7" t="s">
        <v>41</v>
      </c>
      <c r="H4" s="7" t="s">
        <v>148</v>
      </c>
      <c r="I4" s="7" t="s">
        <v>149</v>
      </c>
      <c r="J4" s="7" t="s">
        <v>151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153</v>
      </c>
      <c r="Q4" s="7" t="s">
        <v>67</v>
      </c>
    </row>
    <row r="5" spans="1:17" x14ac:dyDescent="0.15">
      <c r="A5" s="12" t="s">
        <v>114</v>
      </c>
      <c r="B5" s="12" t="s">
        <v>2</v>
      </c>
      <c r="C5" s="12">
        <v>0</v>
      </c>
      <c r="D5" s="12">
        <v>0</v>
      </c>
      <c r="E5" s="12">
        <v>7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f>SUM(C5:P5)</f>
        <v>7</v>
      </c>
    </row>
    <row r="6" spans="1:17" x14ac:dyDescent="0.15">
      <c r="A6" s="12" t="s">
        <v>114</v>
      </c>
      <c r="B6" s="12" t="s">
        <v>3</v>
      </c>
      <c r="C6" s="12">
        <v>0</v>
      </c>
      <c r="D6" s="12">
        <v>0</v>
      </c>
      <c r="E6" s="12">
        <v>40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6</v>
      </c>
      <c r="N6" s="12">
        <v>0</v>
      </c>
      <c r="O6" s="12">
        <v>0</v>
      </c>
      <c r="P6" s="12">
        <v>0</v>
      </c>
      <c r="Q6" s="12">
        <f t="shared" ref="Q6:Q35" si="0">SUM(C6:P6)</f>
        <v>46</v>
      </c>
    </row>
    <row r="7" spans="1:17" x14ac:dyDescent="0.15">
      <c r="A7" s="12" t="s">
        <v>115</v>
      </c>
      <c r="B7" s="12" t="s">
        <v>70</v>
      </c>
      <c r="C7" s="12">
        <v>0</v>
      </c>
      <c r="D7" s="12">
        <v>0</v>
      </c>
      <c r="E7" s="12">
        <v>35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7</v>
      </c>
      <c r="N7" s="12">
        <v>0</v>
      </c>
      <c r="O7" s="12">
        <v>1</v>
      </c>
      <c r="P7" s="12">
        <v>0</v>
      </c>
      <c r="Q7" s="12">
        <f t="shared" si="0"/>
        <v>43</v>
      </c>
    </row>
    <row r="8" spans="1:17" x14ac:dyDescent="0.15">
      <c r="A8" s="12" t="s">
        <v>115</v>
      </c>
      <c r="B8" s="12" t="s">
        <v>5</v>
      </c>
      <c r="C8" s="12">
        <v>0</v>
      </c>
      <c r="D8" s="12">
        <v>0</v>
      </c>
      <c r="E8" s="12">
        <v>109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15</v>
      </c>
      <c r="N8" s="12">
        <v>0</v>
      </c>
      <c r="O8" s="12">
        <v>3</v>
      </c>
      <c r="P8" s="12">
        <v>0</v>
      </c>
      <c r="Q8" s="12">
        <f t="shared" si="0"/>
        <v>127</v>
      </c>
    </row>
    <row r="9" spans="1:17" x14ac:dyDescent="0.15">
      <c r="A9" s="12" t="s">
        <v>115</v>
      </c>
      <c r="B9" s="12" t="s">
        <v>6</v>
      </c>
      <c r="C9" s="12">
        <v>0</v>
      </c>
      <c r="D9" s="12">
        <v>0</v>
      </c>
      <c r="E9" s="12">
        <v>99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18</v>
      </c>
      <c r="N9" s="12">
        <v>0</v>
      </c>
      <c r="O9" s="12">
        <v>9</v>
      </c>
      <c r="P9" s="12">
        <v>0</v>
      </c>
      <c r="Q9" s="12">
        <f t="shared" si="0"/>
        <v>126</v>
      </c>
    </row>
    <row r="10" spans="1:17" x14ac:dyDescent="0.15">
      <c r="A10" s="12" t="s">
        <v>115</v>
      </c>
      <c r="B10" s="12" t="s">
        <v>7</v>
      </c>
      <c r="C10" s="12">
        <v>0</v>
      </c>
      <c r="D10" s="12">
        <v>0</v>
      </c>
      <c r="E10" s="12">
        <v>105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28</v>
      </c>
      <c r="N10" s="12">
        <v>0</v>
      </c>
      <c r="O10" s="12">
        <v>9</v>
      </c>
      <c r="P10" s="12">
        <v>0</v>
      </c>
      <c r="Q10" s="12">
        <f t="shared" si="0"/>
        <v>142</v>
      </c>
    </row>
    <row r="11" spans="1:17" x14ac:dyDescent="0.15">
      <c r="A11" s="12" t="s">
        <v>115</v>
      </c>
      <c r="B11" s="12" t="s">
        <v>58</v>
      </c>
      <c r="C11" s="12">
        <v>0</v>
      </c>
      <c r="D11" s="12">
        <v>0</v>
      </c>
      <c r="E11" s="12">
        <v>165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40</v>
      </c>
      <c r="N11" s="12">
        <v>0</v>
      </c>
      <c r="O11" s="12">
        <v>13</v>
      </c>
      <c r="P11" s="12">
        <v>0</v>
      </c>
      <c r="Q11" s="12">
        <f t="shared" si="0"/>
        <v>218</v>
      </c>
    </row>
    <row r="12" spans="1:17" x14ac:dyDescent="0.15">
      <c r="A12" s="12" t="s">
        <v>115</v>
      </c>
      <c r="B12" s="12" t="s">
        <v>72</v>
      </c>
      <c r="C12" s="12">
        <v>0</v>
      </c>
      <c r="D12" s="12">
        <v>0</v>
      </c>
      <c r="E12" s="12">
        <v>294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26</v>
      </c>
      <c r="N12" s="12">
        <v>0</v>
      </c>
      <c r="O12" s="12">
        <v>8</v>
      </c>
      <c r="P12" s="12">
        <v>0</v>
      </c>
      <c r="Q12" s="12">
        <f t="shared" si="0"/>
        <v>328</v>
      </c>
    </row>
    <row r="13" spans="1:17" x14ac:dyDescent="0.15">
      <c r="A13" s="12" t="s">
        <v>116</v>
      </c>
      <c r="B13" s="12" t="s">
        <v>73</v>
      </c>
      <c r="C13" s="12">
        <v>0</v>
      </c>
      <c r="D13" s="12">
        <v>0</v>
      </c>
      <c r="E13" s="12">
        <v>428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32</v>
      </c>
      <c r="N13" s="12">
        <v>0</v>
      </c>
      <c r="O13" s="12">
        <v>1</v>
      </c>
      <c r="P13" s="12">
        <v>0</v>
      </c>
      <c r="Q13" s="12">
        <f t="shared" si="0"/>
        <v>461</v>
      </c>
    </row>
    <row r="14" spans="1:17" x14ac:dyDescent="0.15">
      <c r="A14" s="12" t="s">
        <v>116</v>
      </c>
      <c r="B14" s="12" t="s">
        <v>74</v>
      </c>
      <c r="C14" s="12">
        <v>0</v>
      </c>
      <c r="D14" s="12">
        <v>0</v>
      </c>
      <c r="E14" s="12">
        <v>794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60</v>
      </c>
      <c r="N14" s="12">
        <v>0</v>
      </c>
      <c r="O14" s="12">
        <v>4</v>
      </c>
      <c r="P14" s="12">
        <v>0</v>
      </c>
      <c r="Q14" s="12">
        <f t="shared" si="0"/>
        <v>858</v>
      </c>
    </row>
    <row r="15" spans="1:17" x14ac:dyDescent="0.15">
      <c r="A15" s="12" t="s">
        <v>116</v>
      </c>
      <c r="B15" s="12" t="s">
        <v>59</v>
      </c>
      <c r="C15" s="12">
        <v>0</v>
      </c>
      <c r="D15" s="12">
        <v>0</v>
      </c>
      <c r="E15" s="12">
        <v>1016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1</v>
      </c>
      <c r="L15" s="12">
        <v>0</v>
      </c>
      <c r="M15" s="12">
        <v>41</v>
      </c>
      <c r="N15" s="12">
        <v>0</v>
      </c>
      <c r="O15" s="12">
        <v>11</v>
      </c>
      <c r="P15" s="12">
        <v>0</v>
      </c>
      <c r="Q15" s="12">
        <f t="shared" si="0"/>
        <v>1069</v>
      </c>
    </row>
    <row r="16" spans="1:17" x14ac:dyDescent="0.15">
      <c r="A16" s="12" t="s">
        <v>117</v>
      </c>
      <c r="B16" s="12" t="s">
        <v>76</v>
      </c>
      <c r="C16" s="12">
        <v>0</v>
      </c>
      <c r="D16" s="12">
        <v>0</v>
      </c>
      <c r="E16" s="12">
        <v>635</v>
      </c>
      <c r="F16" s="12">
        <v>0</v>
      </c>
      <c r="G16" s="12">
        <v>0</v>
      </c>
      <c r="H16" s="12">
        <v>0</v>
      </c>
      <c r="I16" s="12">
        <v>8</v>
      </c>
      <c r="J16" s="12">
        <v>3</v>
      </c>
      <c r="K16" s="12">
        <v>0</v>
      </c>
      <c r="L16" s="12">
        <v>0</v>
      </c>
      <c r="M16" s="12">
        <v>19</v>
      </c>
      <c r="N16" s="12">
        <v>0</v>
      </c>
      <c r="O16" s="12">
        <v>0</v>
      </c>
      <c r="P16" s="12">
        <v>0</v>
      </c>
      <c r="Q16" s="12">
        <f t="shared" si="0"/>
        <v>665</v>
      </c>
    </row>
    <row r="17" spans="1:17" x14ac:dyDescent="0.15">
      <c r="A17" s="12" t="s">
        <v>117</v>
      </c>
      <c r="B17" s="12" t="s">
        <v>60</v>
      </c>
      <c r="C17" s="12">
        <v>0</v>
      </c>
      <c r="D17" s="12">
        <v>1</v>
      </c>
      <c r="E17" s="12">
        <v>1401</v>
      </c>
      <c r="F17" s="12">
        <v>0</v>
      </c>
      <c r="G17" s="12">
        <v>0</v>
      </c>
      <c r="H17" s="12">
        <v>0</v>
      </c>
      <c r="I17" s="12">
        <v>8</v>
      </c>
      <c r="J17" s="12">
        <v>3</v>
      </c>
      <c r="K17" s="12">
        <v>0</v>
      </c>
      <c r="L17" s="12">
        <v>0</v>
      </c>
      <c r="M17" s="12">
        <v>86</v>
      </c>
      <c r="N17" s="12">
        <v>0</v>
      </c>
      <c r="O17" s="12">
        <v>25</v>
      </c>
      <c r="P17" s="12">
        <v>1</v>
      </c>
      <c r="Q17" s="12">
        <f t="shared" si="0"/>
        <v>1525</v>
      </c>
    </row>
    <row r="18" spans="1:17" x14ac:dyDescent="0.15">
      <c r="A18" s="12" t="s">
        <v>117</v>
      </c>
      <c r="B18" s="12" t="s">
        <v>61</v>
      </c>
      <c r="C18" s="12">
        <v>0</v>
      </c>
      <c r="D18" s="12">
        <v>2</v>
      </c>
      <c r="E18" s="12">
        <v>1030</v>
      </c>
      <c r="F18" s="12">
        <v>0</v>
      </c>
      <c r="G18" s="12">
        <v>0</v>
      </c>
      <c r="H18" s="12">
        <v>0</v>
      </c>
      <c r="I18" s="12">
        <v>14</v>
      </c>
      <c r="J18" s="12">
        <v>2</v>
      </c>
      <c r="K18" s="12">
        <v>1</v>
      </c>
      <c r="L18" s="12">
        <v>0</v>
      </c>
      <c r="M18" s="12">
        <v>73</v>
      </c>
      <c r="N18" s="12">
        <v>0</v>
      </c>
      <c r="O18" s="12">
        <v>32</v>
      </c>
      <c r="P18" s="12">
        <v>0</v>
      </c>
      <c r="Q18" s="12">
        <f t="shared" si="0"/>
        <v>1154</v>
      </c>
    </row>
    <row r="19" spans="1:17" x14ac:dyDescent="0.15">
      <c r="A19" s="12" t="s">
        <v>117</v>
      </c>
      <c r="B19" s="12" t="s">
        <v>62</v>
      </c>
      <c r="C19" s="12">
        <v>0</v>
      </c>
      <c r="D19" s="12">
        <v>2</v>
      </c>
      <c r="E19" s="12">
        <v>1151</v>
      </c>
      <c r="F19" s="12">
        <v>0</v>
      </c>
      <c r="G19" s="12">
        <v>0</v>
      </c>
      <c r="H19" s="12">
        <v>0</v>
      </c>
      <c r="I19" s="12">
        <v>3</v>
      </c>
      <c r="J19" s="12">
        <v>0</v>
      </c>
      <c r="K19" s="12">
        <v>0</v>
      </c>
      <c r="L19" s="12">
        <v>0</v>
      </c>
      <c r="M19" s="12">
        <v>110</v>
      </c>
      <c r="N19" s="12">
        <v>0</v>
      </c>
      <c r="O19" s="12">
        <v>25</v>
      </c>
      <c r="P19" s="12">
        <v>0</v>
      </c>
      <c r="Q19" s="12">
        <f t="shared" si="0"/>
        <v>1291</v>
      </c>
    </row>
    <row r="20" spans="1:17" x14ac:dyDescent="0.15">
      <c r="A20" s="12" t="s">
        <v>118</v>
      </c>
      <c r="B20" s="12" t="s">
        <v>8</v>
      </c>
      <c r="C20" s="12">
        <v>0</v>
      </c>
      <c r="D20" s="12">
        <v>4</v>
      </c>
      <c r="E20" s="12">
        <v>777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72</v>
      </c>
      <c r="N20" s="12">
        <v>0</v>
      </c>
      <c r="O20" s="12">
        <v>6</v>
      </c>
      <c r="P20" s="12">
        <v>0</v>
      </c>
      <c r="Q20" s="12">
        <f t="shared" si="0"/>
        <v>859</v>
      </c>
    </row>
    <row r="21" spans="1:17" x14ac:dyDescent="0.15">
      <c r="A21" s="12" t="s">
        <v>118</v>
      </c>
      <c r="B21" s="12" t="s">
        <v>9</v>
      </c>
      <c r="C21" s="12">
        <v>0</v>
      </c>
      <c r="D21" s="12">
        <v>3</v>
      </c>
      <c r="E21" s="12">
        <v>838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7</v>
      </c>
      <c r="L21" s="12">
        <v>0</v>
      </c>
      <c r="M21" s="12">
        <v>84</v>
      </c>
      <c r="N21" s="12">
        <v>0</v>
      </c>
      <c r="O21" s="12">
        <v>12</v>
      </c>
      <c r="P21" s="12">
        <v>0</v>
      </c>
      <c r="Q21" s="12">
        <f t="shared" si="0"/>
        <v>944</v>
      </c>
    </row>
    <row r="22" spans="1:17" x14ac:dyDescent="0.15">
      <c r="A22" s="12" t="s">
        <v>118</v>
      </c>
      <c r="B22" s="12" t="s">
        <v>10</v>
      </c>
      <c r="C22" s="12">
        <v>0</v>
      </c>
      <c r="D22" s="12">
        <v>2</v>
      </c>
      <c r="E22" s="12">
        <v>441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1</v>
      </c>
      <c r="L22" s="12">
        <v>0</v>
      </c>
      <c r="M22" s="12">
        <v>37</v>
      </c>
      <c r="N22" s="12">
        <v>0</v>
      </c>
      <c r="O22" s="12">
        <v>7</v>
      </c>
      <c r="P22" s="12">
        <v>0</v>
      </c>
      <c r="Q22" s="12">
        <f t="shared" si="0"/>
        <v>488</v>
      </c>
    </row>
    <row r="23" spans="1:17" x14ac:dyDescent="0.15">
      <c r="A23" s="12" t="s">
        <v>118</v>
      </c>
      <c r="B23" s="12" t="s">
        <v>11</v>
      </c>
      <c r="C23" s="12">
        <v>0</v>
      </c>
      <c r="D23" s="12">
        <v>8</v>
      </c>
      <c r="E23" s="12">
        <v>545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3</v>
      </c>
      <c r="L23" s="12">
        <v>0</v>
      </c>
      <c r="M23" s="12">
        <v>15</v>
      </c>
      <c r="N23" s="12">
        <v>0</v>
      </c>
      <c r="O23" s="12">
        <v>20</v>
      </c>
      <c r="P23" s="12">
        <v>0</v>
      </c>
      <c r="Q23" s="12">
        <f t="shared" si="0"/>
        <v>591</v>
      </c>
    </row>
    <row r="24" spans="1:17" x14ac:dyDescent="0.15">
      <c r="A24" s="12" t="s">
        <v>118</v>
      </c>
      <c r="B24" s="12" t="s">
        <v>119</v>
      </c>
      <c r="C24" s="12">
        <v>0</v>
      </c>
      <c r="D24" s="12">
        <v>10</v>
      </c>
      <c r="E24" s="12">
        <v>393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31</v>
      </c>
      <c r="N24" s="12">
        <v>0</v>
      </c>
      <c r="O24" s="12">
        <v>6</v>
      </c>
      <c r="P24" s="12">
        <v>0</v>
      </c>
      <c r="Q24" s="12">
        <f t="shared" si="0"/>
        <v>440</v>
      </c>
    </row>
    <row r="25" spans="1:17" x14ac:dyDescent="0.15">
      <c r="A25" s="12" t="s">
        <v>120</v>
      </c>
      <c r="B25" s="12" t="s">
        <v>12</v>
      </c>
      <c r="C25" s="12">
        <v>0</v>
      </c>
      <c r="D25" s="12">
        <v>4</v>
      </c>
      <c r="E25" s="12">
        <v>494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3</v>
      </c>
      <c r="L25" s="12">
        <v>0</v>
      </c>
      <c r="M25" s="12">
        <v>24</v>
      </c>
      <c r="N25" s="12">
        <v>0</v>
      </c>
      <c r="O25" s="12">
        <v>12</v>
      </c>
      <c r="P25" s="12">
        <v>0</v>
      </c>
      <c r="Q25" s="12">
        <f t="shared" si="0"/>
        <v>537</v>
      </c>
    </row>
    <row r="26" spans="1:17" x14ac:dyDescent="0.15">
      <c r="A26" s="12" t="s">
        <v>120</v>
      </c>
      <c r="B26" s="12" t="s">
        <v>13</v>
      </c>
      <c r="C26" s="12">
        <v>0</v>
      </c>
      <c r="D26" s="12">
        <v>5</v>
      </c>
      <c r="E26" s="12">
        <v>520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38</v>
      </c>
      <c r="N26" s="12">
        <v>0</v>
      </c>
      <c r="O26" s="12">
        <v>6</v>
      </c>
      <c r="P26" s="12">
        <v>0</v>
      </c>
      <c r="Q26" s="12">
        <f t="shared" si="0"/>
        <v>569</v>
      </c>
    </row>
    <row r="27" spans="1:17" x14ac:dyDescent="0.15">
      <c r="A27" s="12" t="s">
        <v>120</v>
      </c>
      <c r="B27" s="12" t="s">
        <v>14</v>
      </c>
      <c r="C27" s="12">
        <v>0</v>
      </c>
      <c r="D27" s="12">
        <v>1</v>
      </c>
      <c r="E27" s="12">
        <v>660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26</v>
      </c>
      <c r="N27" s="12">
        <v>0</v>
      </c>
      <c r="O27" s="12">
        <v>11</v>
      </c>
      <c r="P27" s="12">
        <v>0</v>
      </c>
      <c r="Q27" s="12">
        <f t="shared" si="0"/>
        <v>698</v>
      </c>
    </row>
    <row r="28" spans="1:17" x14ac:dyDescent="0.15">
      <c r="A28" s="12" t="s">
        <v>120</v>
      </c>
      <c r="B28" s="12" t="s">
        <v>15</v>
      </c>
      <c r="C28" s="12">
        <v>0</v>
      </c>
      <c r="D28" s="12">
        <v>4</v>
      </c>
      <c r="E28" s="12">
        <v>708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2</v>
      </c>
      <c r="L28" s="12">
        <v>0</v>
      </c>
      <c r="M28" s="12">
        <v>88</v>
      </c>
      <c r="N28" s="12">
        <v>0</v>
      </c>
      <c r="O28" s="12">
        <v>4</v>
      </c>
      <c r="P28" s="12">
        <v>0</v>
      </c>
      <c r="Q28" s="12">
        <f t="shared" si="0"/>
        <v>806</v>
      </c>
    </row>
    <row r="29" spans="1:17" x14ac:dyDescent="0.15">
      <c r="A29" s="12" t="s">
        <v>121</v>
      </c>
      <c r="B29" s="12" t="s">
        <v>16</v>
      </c>
      <c r="C29" s="12">
        <v>0</v>
      </c>
      <c r="D29" s="12">
        <v>1</v>
      </c>
      <c r="E29" s="12">
        <v>648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28</v>
      </c>
      <c r="N29" s="12">
        <v>0</v>
      </c>
      <c r="O29" s="12">
        <v>0</v>
      </c>
      <c r="P29" s="12">
        <v>0</v>
      </c>
      <c r="Q29" s="12">
        <f t="shared" si="0"/>
        <v>677</v>
      </c>
    </row>
    <row r="30" spans="1:17" x14ac:dyDescent="0.15">
      <c r="A30" s="12" t="s">
        <v>121</v>
      </c>
      <c r="B30" s="12" t="s">
        <v>17</v>
      </c>
      <c r="C30" s="12">
        <v>0</v>
      </c>
      <c r="D30" s="12">
        <v>0</v>
      </c>
      <c r="E30" s="12">
        <v>576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26</v>
      </c>
      <c r="N30" s="12">
        <v>0</v>
      </c>
      <c r="O30" s="12">
        <v>8</v>
      </c>
      <c r="P30" s="12">
        <v>0</v>
      </c>
      <c r="Q30" s="12">
        <f t="shared" si="0"/>
        <v>610</v>
      </c>
    </row>
    <row r="31" spans="1:17" x14ac:dyDescent="0.15">
      <c r="A31" s="12" t="s">
        <v>121</v>
      </c>
      <c r="B31" s="12" t="s">
        <v>18</v>
      </c>
      <c r="C31" s="12">
        <v>0</v>
      </c>
      <c r="D31" s="12">
        <v>0</v>
      </c>
      <c r="E31" s="12">
        <v>590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23</v>
      </c>
      <c r="N31" s="12">
        <v>0</v>
      </c>
      <c r="O31" s="12">
        <v>1</v>
      </c>
      <c r="P31" s="12">
        <v>0</v>
      </c>
      <c r="Q31" s="12">
        <f t="shared" si="0"/>
        <v>614</v>
      </c>
    </row>
    <row r="32" spans="1:17" x14ac:dyDescent="0.15">
      <c r="A32" s="12" t="s">
        <v>121</v>
      </c>
      <c r="B32" s="12" t="s">
        <v>19</v>
      </c>
      <c r="C32" s="12">
        <v>0</v>
      </c>
      <c r="D32" s="12">
        <v>3</v>
      </c>
      <c r="E32" s="12">
        <v>593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16</v>
      </c>
      <c r="N32" s="12">
        <v>0</v>
      </c>
      <c r="O32" s="12">
        <v>3</v>
      </c>
      <c r="P32" s="12">
        <v>0</v>
      </c>
      <c r="Q32" s="12">
        <f t="shared" si="0"/>
        <v>615</v>
      </c>
    </row>
    <row r="33" spans="1:17" x14ac:dyDescent="0.15">
      <c r="A33" s="12" t="s">
        <v>122</v>
      </c>
      <c r="B33" s="12" t="s">
        <v>20</v>
      </c>
      <c r="C33" s="12">
        <v>0</v>
      </c>
      <c r="D33" s="12">
        <v>0</v>
      </c>
      <c r="E33" s="12">
        <v>54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f t="shared" si="0"/>
        <v>54</v>
      </c>
    </row>
    <row r="34" spans="1:17" x14ac:dyDescent="0.15">
      <c r="A34" s="12" t="s">
        <v>122</v>
      </c>
      <c r="B34" s="12" t="s">
        <v>21</v>
      </c>
      <c r="C34" s="12">
        <v>0</v>
      </c>
      <c r="D34" s="12">
        <v>1</v>
      </c>
      <c r="E34" s="12">
        <v>330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4</v>
      </c>
      <c r="N34" s="12">
        <v>0</v>
      </c>
      <c r="O34" s="12">
        <v>2</v>
      </c>
      <c r="P34" s="12">
        <v>0</v>
      </c>
      <c r="Q34" s="12">
        <f t="shared" si="0"/>
        <v>337</v>
      </c>
    </row>
    <row r="35" spans="1:17" x14ac:dyDescent="0.15">
      <c r="A35" s="12" t="s">
        <v>122</v>
      </c>
      <c r="B35" s="12" t="s">
        <v>22</v>
      </c>
      <c r="C35" s="12">
        <v>0</v>
      </c>
      <c r="D35" s="12">
        <v>0</v>
      </c>
      <c r="E35" s="12">
        <v>193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f t="shared" si="0"/>
        <v>193</v>
      </c>
    </row>
    <row r="36" spans="1:17" s="18" customFormat="1" x14ac:dyDescent="0.15">
      <c r="A36" s="52" t="s">
        <v>167</v>
      </c>
      <c r="B36" s="53"/>
      <c r="C36" s="14">
        <f>SUM(C5:C35)</f>
        <v>0</v>
      </c>
      <c r="D36" s="14">
        <f t="shared" ref="D36:Q36" si="1">SUM(D5:D35)</f>
        <v>51</v>
      </c>
      <c r="E36" s="14">
        <f t="shared" si="1"/>
        <v>15669</v>
      </c>
      <c r="F36" s="14">
        <f t="shared" si="1"/>
        <v>0</v>
      </c>
      <c r="G36" s="14">
        <f t="shared" si="1"/>
        <v>0</v>
      </c>
      <c r="H36" s="14">
        <f t="shared" si="1"/>
        <v>0</v>
      </c>
      <c r="I36" s="14">
        <f t="shared" si="1"/>
        <v>33</v>
      </c>
      <c r="J36" s="14">
        <f t="shared" si="1"/>
        <v>8</v>
      </c>
      <c r="K36" s="14">
        <f t="shared" si="1"/>
        <v>18</v>
      </c>
      <c r="L36" s="14">
        <f t="shared" si="1"/>
        <v>0</v>
      </c>
      <c r="M36" s="14">
        <f t="shared" si="1"/>
        <v>1073</v>
      </c>
      <c r="N36" s="14">
        <f t="shared" si="1"/>
        <v>0</v>
      </c>
      <c r="O36" s="14">
        <f t="shared" si="1"/>
        <v>239</v>
      </c>
      <c r="P36" s="14">
        <f t="shared" si="1"/>
        <v>1</v>
      </c>
      <c r="Q36" s="14">
        <f t="shared" si="1"/>
        <v>17092</v>
      </c>
    </row>
  </sheetData>
  <mergeCells count="4">
    <mergeCell ref="A1:Q1"/>
    <mergeCell ref="A36:B36"/>
    <mergeCell ref="A3:A4"/>
    <mergeCell ref="B3:B4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zoomScale="85" zoomScaleNormal="85" workbookViewId="0">
      <selection sqref="A1:Q1"/>
    </sheetView>
  </sheetViews>
  <sheetFormatPr defaultRowHeight="13.5" x14ac:dyDescent="0.15"/>
  <cols>
    <col min="3" max="16" width="9" bestFit="1" customWidth="1"/>
    <col min="17" max="17" width="9.109375" bestFit="1" customWidth="1"/>
  </cols>
  <sheetData>
    <row r="1" spans="1:17" ht="18.75" x14ac:dyDescent="0.25">
      <c r="A1" s="51" t="s">
        <v>168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x14ac:dyDescent="0.15">
      <c r="Q2" s="16" t="s">
        <v>65</v>
      </c>
    </row>
    <row r="3" spans="1:17" x14ac:dyDescent="0.15">
      <c r="A3" s="49" t="s">
        <v>102</v>
      </c>
      <c r="B3" s="49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67</v>
      </c>
    </row>
    <row r="4" spans="1:17" ht="40.5" x14ac:dyDescent="0.15">
      <c r="A4" s="50"/>
      <c r="B4" s="50"/>
      <c r="C4" s="7" t="s">
        <v>146</v>
      </c>
      <c r="D4" s="7" t="s">
        <v>39</v>
      </c>
      <c r="E4" s="7" t="s">
        <v>40</v>
      </c>
      <c r="F4" s="7" t="s">
        <v>147</v>
      </c>
      <c r="G4" s="7" t="s">
        <v>41</v>
      </c>
      <c r="H4" s="7" t="s">
        <v>148</v>
      </c>
      <c r="I4" s="7" t="s">
        <v>149</v>
      </c>
      <c r="J4" s="7" t="s">
        <v>151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153</v>
      </c>
      <c r="Q4" s="7" t="s">
        <v>67</v>
      </c>
    </row>
    <row r="5" spans="1:17" x14ac:dyDescent="0.15">
      <c r="A5" s="12" t="s">
        <v>169</v>
      </c>
      <c r="B5" s="12" t="s">
        <v>111</v>
      </c>
      <c r="C5" s="12">
        <v>0</v>
      </c>
      <c r="D5" s="12">
        <v>0</v>
      </c>
      <c r="E5" s="12">
        <v>17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f>SUM(C5:P5)</f>
        <v>18</v>
      </c>
    </row>
    <row r="6" spans="1:17" x14ac:dyDescent="0.15">
      <c r="A6" s="12" t="s">
        <v>169</v>
      </c>
      <c r="B6" s="12" t="s">
        <v>82</v>
      </c>
      <c r="C6" s="12">
        <v>0</v>
      </c>
      <c r="D6" s="12">
        <v>0</v>
      </c>
      <c r="E6" s="12">
        <v>19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5</v>
      </c>
      <c r="N6" s="12">
        <v>0</v>
      </c>
      <c r="O6" s="12">
        <v>5</v>
      </c>
      <c r="P6" s="12">
        <v>0</v>
      </c>
      <c r="Q6" s="12">
        <f t="shared" ref="Q6:Q35" si="0">SUM(C6:P6)</f>
        <v>29</v>
      </c>
    </row>
    <row r="7" spans="1:17" x14ac:dyDescent="0.15">
      <c r="A7" s="12" t="s">
        <v>170</v>
      </c>
      <c r="B7" s="12" t="s">
        <v>83</v>
      </c>
      <c r="C7" s="12">
        <v>0</v>
      </c>
      <c r="D7" s="12">
        <v>0</v>
      </c>
      <c r="E7" s="12">
        <v>13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4</v>
      </c>
      <c r="N7" s="12">
        <v>0</v>
      </c>
      <c r="O7" s="12">
        <v>1</v>
      </c>
      <c r="P7" s="12">
        <v>0</v>
      </c>
      <c r="Q7" s="12">
        <f t="shared" si="0"/>
        <v>18</v>
      </c>
    </row>
    <row r="8" spans="1:17" x14ac:dyDescent="0.15">
      <c r="A8" s="12" t="s">
        <v>170</v>
      </c>
      <c r="B8" s="12" t="s">
        <v>47</v>
      </c>
      <c r="C8" s="12">
        <v>0</v>
      </c>
      <c r="D8" s="12">
        <v>0</v>
      </c>
      <c r="E8" s="12">
        <v>20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13</v>
      </c>
      <c r="N8" s="12">
        <v>0</v>
      </c>
      <c r="O8" s="12">
        <v>2</v>
      </c>
      <c r="P8" s="12">
        <v>0</v>
      </c>
      <c r="Q8" s="12">
        <f t="shared" si="0"/>
        <v>35</v>
      </c>
    </row>
    <row r="9" spans="1:17" x14ac:dyDescent="0.15">
      <c r="A9" s="12" t="s">
        <v>170</v>
      </c>
      <c r="B9" s="12" t="s">
        <v>48</v>
      </c>
      <c r="C9" s="12">
        <v>0</v>
      </c>
      <c r="D9" s="12">
        <v>0</v>
      </c>
      <c r="E9" s="12">
        <v>65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22</v>
      </c>
      <c r="N9" s="12">
        <v>0</v>
      </c>
      <c r="O9" s="12">
        <v>1</v>
      </c>
      <c r="P9" s="12">
        <v>0</v>
      </c>
      <c r="Q9" s="12">
        <f t="shared" si="0"/>
        <v>88</v>
      </c>
    </row>
    <row r="10" spans="1:17" x14ac:dyDescent="0.15">
      <c r="A10" s="12" t="s">
        <v>170</v>
      </c>
      <c r="B10" s="12" t="s">
        <v>84</v>
      </c>
      <c r="C10" s="12">
        <v>0</v>
      </c>
      <c r="D10" s="12">
        <v>0</v>
      </c>
      <c r="E10" s="12">
        <v>88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1</v>
      </c>
      <c r="M10" s="12">
        <v>27</v>
      </c>
      <c r="N10" s="12">
        <v>0</v>
      </c>
      <c r="O10" s="12">
        <v>1</v>
      </c>
      <c r="P10" s="12">
        <v>0</v>
      </c>
      <c r="Q10" s="12">
        <f t="shared" si="0"/>
        <v>117</v>
      </c>
    </row>
    <row r="11" spans="1:17" x14ac:dyDescent="0.15">
      <c r="A11" s="12" t="s">
        <v>171</v>
      </c>
      <c r="B11" s="12" t="s">
        <v>85</v>
      </c>
      <c r="C11" s="12">
        <v>0</v>
      </c>
      <c r="D11" s="12">
        <v>0</v>
      </c>
      <c r="E11" s="12">
        <v>80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23</v>
      </c>
      <c r="N11" s="12">
        <v>0</v>
      </c>
      <c r="O11" s="12">
        <v>3</v>
      </c>
      <c r="P11" s="12">
        <v>0</v>
      </c>
      <c r="Q11" s="12">
        <f t="shared" si="0"/>
        <v>106</v>
      </c>
    </row>
    <row r="12" spans="1:17" x14ac:dyDescent="0.15">
      <c r="A12" s="12" t="s">
        <v>171</v>
      </c>
      <c r="B12" s="12" t="s">
        <v>49</v>
      </c>
      <c r="C12" s="12">
        <v>0</v>
      </c>
      <c r="D12" s="12">
        <v>0</v>
      </c>
      <c r="E12" s="12">
        <v>134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8</v>
      </c>
      <c r="N12" s="12">
        <v>0</v>
      </c>
      <c r="O12" s="12">
        <v>2</v>
      </c>
      <c r="P12" s="12">
        <v>0</v>
      </c>
      <c r="Q12" s="12">
        <f t="shared" si="0"/>
        <v>144</v>
      </c>
    </row>
    <row r="13" spans="1:17" x14ac:dyDescent="0.15">
      <c r="A13" s="12" t="s">
        <v>171</v>
      </c>
      <c r="B13" s="12" t="s">
        <v>86</v>
      </c>
      <c r="C13" s="12">
        <v>0</v>
      </c>
      <c r="D13" s="12">
        <v>0</v>
      </c>
      <c r="E13" s="12">
        <v>213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20</v>
      </c>
      <c r="N13" s="12">
        <v>0</v>
      </c>
      <c r="O13" s="12">
        <v>9</v>
      </c>
      <c r="P13" s="12">
        <v>0</v>
      </c>
      <c r="Q13" s="12">
        <f t="shared" si="0"/>
        <v>242</v>
      </c>
    </row>
    <row r="14" spans="1:17" x14ac:dyDescent="0.15">
      <c r="A14" s="12" t="s">
        <v>171</v>
      </c>
      <c r="B14" s="12" t="s">
        <v>87</v>
      </c>
      <c r="C14" s="12">
        <v>0</v>
      </c>
      <c r="D14" s="12">
        <v>0</v>
      </c>
      <c r="E14" s="12">
        <v>244</v>
      </c>
      <c r="F14" s="12">
        <v>0</v>
      </c>
      <c r="G14" s="12">
        <v>0</v>
      </c>
      <c r="H14" s="12">
        <v>0</v>
      </c>
      <c r="I14" s="12">
        <v>3</v>
      </c>
      <c r="J14" s="12">
        <v>0</v>
      </c>
      <c r="K14" s="12">
        <v>0</v>
      </c>
      <c r="L14" s="12">
        <v>0</v>
      </c>
      <c r="M14" s="12">
        <v>4</v>
      </c>
      <c r="N14" s="12">
        <v>0</v>
      </c>
      <c r="O14" s="12">
        <v>12</v>
      </c>
      <c r="P14" s="12">
        <v>0</v>
      </c>
      <c r="Q14" s="12">
        <f t="shared" si="0"/>
        <v>263</v>
      </c>
    </row>
    <row r="15" spans="1:17" x14ac:dyDescent="0.15">
      <c r="A15" s="12" t="s">
        <v>171</v>
      </c>
      <c r="B15" s="12" t="s">
        <v>92</v>
      </c>
      <c r="C15" s="12">
        <v>0</v>
      </c>
      <c r="D15" s="12">
        <v>0</v>
      </c>
      <c r="E15" s="12">
        <v>335</v>
      </c>
      <c r="F15" s="12">
        <v>0</v>
      </c>
      <c r="G15" s="12">
        <v>0</v>
      </c>
      <c r="H15" s="12">
        <v>0</v>
      </c>
      <c r="I15" s="12">
        <v>8</v>
      </c>
      <c r="J15" s="12">
        <v>3</v>
      </c>
      <c r="K15" s="12">
        <v>0</v>
      </c>
      <c r="L15" s="12">
        <v>0</v>
      </c>
      <c r="M15" s="12">
        <v>31</v>
      </c>
      <c r="N15" s="12">
        <v>0</v>
      </c>
      <c r="O15" s="12">
        <v>9</v>
      </c>
      <c r="P15" s="12">
        <v>0</v>
      </c>
      <c r="Q15" s="12">
        <f t="shared" si="0"/>
        <v>386</v>
      </c>
    </row>
    <row r="16" spans="1:17" x14ac:dyDescent="0.15">
      <c r="A16" s="12" t="s">
        <v>172</v>
      </c>
      <c r="B16" s="12" t="s">
        <v>88</v>
      </c>
      <c r="C16" s="12">
        <v>0</v>
      </c>
      <c r="D16" s="12">
        <v>3</v>
      </c>
      <c r="E16" s="12">
        <v>717</v>
      </c>
      <c r="F16" s="12">
        <v>0</v>
      </c>
      <c r="G16" s="12">
        <v>0</v>
      </c>
      <c r="H16" s="12">
        <v>0</v>
      </c>
      <c r="I16" s="12">
        <v>5</v>
      </c>
      <c r="J16" s="12">
        <v>3</v>
      </c>
      <c r="K16" s="12">
        <v>0</v>
      </c>
      <c r="L16" s="12">
        <v>0</v>
      </c>
      <c r="M16" s="12">
        <v>33</v>
      </c>
      <c r="N16" s="12">
        <v>0</v>
      </c>
      <c r="O16" s="12">
        <v>13</v>
      </c>
      <c r="P16" s="12">
        <v>0</v>
      </c>
      <c r="Q16" s="12">
        <f t="shared" si="0"/>
        <v>774</v>
      </c>
    </row>
    <row r="17" spans="1:17" x14ac:dyDescent="0.15">
      <c r="A17" s="12" t="s">
        <v>172</v>
      </c>
      <c r="B17" s="12" t="s">
        <v>50</v>
      </c>
      <c r="C17" s="12">
        <v>0</v>
      </c>
      <c r="D17" s="12">
        <v>6</v>
      </c>
      <c r="E17" s="12">
        <v>807</v>
      </c>
      <c r="F17" s="12">
        <v>0</v>
      </c>
      <c r="G17" s="12">
        <v>0</v>
      </c>
      <c r="H17" s="12">
        <v>0</v>
      </c>
      <c r="I17" s="12">
        <v>8</v>
      </c>
      <c r="J17" s="12">
        <v>11</v>
      </c>
      <c r="K17" s="12">
        <v>0</v>
      </c>
      <c r="L17" s="12">
        <v>0</v>
      </c>
      <c r="M17" s="12">
        <v>29</v>
      </c>
      <c r="N17" s="12">
        <v>0</v>
      </c>
      <c r="O17" s="12">
        <v>29</v>
      </c>
      <c r="P17" s="12">
        <v>0</v>
      </c>
      <c r="Q17" s="12">
        <f t="shared" si="0"/>
        <v>890</v>
      </c>
    </row>
    <row r="18" spans="1:17" x14ac:dyDescent="0.15">
      <c r="A18" s="12" t="s">
        <v>172</v>
      </c>
      <c r="B18" s="12" t="s">
        <v>89</v>
      </c>
      <c r="C18" s="12">
        <v>0</v>
      </c>
      <c r="D18" s="12">
        <v>7</v>
      </c>
      <c r="E18" s="12">
        <v>872</v>
      </c>
      <c r="F18" s="12">
        <v>0</v>
      </c>
      <c r="G18" s="12">
        <v>0</v>
      </c>
      <c r="H18" s="12">
        <v>0</v>
      </c>
      <c r="I18" s="12">
        <v>3</v>
      </c>
      <c r="J18" s="12">
        <v>2</v>
      </c>
      <c r="K18" s="12">
        <v>0</v>
      </c>
      <c r="L18" s="12">
        <v>0</v>
      </c>
      <c r="M18" s="12">
        <v>17</v>
      </c>
      <c r="N18" s="12">
        <v>0</v>
      </c>
      <c r="O18" s="12">
        <v>19</v>
      </c>
      <c r="P18" s="12">
        <v>0</v>
      </c>
      <c r="Q18" s="12">
        <f t="shared" si="0"/>
        <v>920</v>
      </c>
    </row>
    <row r="19" spans="1:17" x14ac:dyDescent="0.15">
      <c r="A19" s="12" t="s">
        <v>172</v>
      </c>
      <c r="B19" s="12" t="s">
        <v>51</v>
      </c>
      <c r="C19" s="12">
        <v>0</v>
      </c>
      <c r="D19" s="12">
        <v>2</v>
      </c>
      <c r="E19" s="12">
        <v>513</v>
      </c>
      <c r="F19" s="12">
        <v>0</v>
      </c>
      <c r="G19" s="12">
        <v>0</v>
      </c>
      <c r="H19" s="12">
        <v>0</v>
      </c>
      <c r="I19" s="12">
        <v>0</v>
      </c>
      <c r="J19" s="12">
        <v>1</v>
      </c>
      <c r="K19" s="12">
        <v>0</v>
      </c>
      <c r="L19" s="12">
        <v>0</v>
      </c>
      <c r="M19" s="12">
        <v>13</v>
      </c>
      <c r="N19" s="12">
        <v>0</v>
      </c>
      <c r="O19" s="12">
        <v>37</v>
      </c>
      <c r="P19" s="12">
        <v>0</v>
      </c>
      <c r="Q19" s="12">
        <f t="shared" si="0"/>
        <v>566</v>
      </c>
    </row>
    <row r="20" spans="1:17" x14ac:dyDescent="0.15">
      <c r="A20" s="12" t="s">
        <v>173</v>
      </c>
      <c r="B20" s="12" t="s">
        <v>91</v>
      </c>
      <c r="C20" s="12">
        <v>0</v>
      </c>
      <c r="D20" s="12">
        <v>1</v>
      </c>
      <c r="E20" s="12">
        <v>763</v>
      </c>
      <c r="F20" s="12">
        <v>0</v>
      </c>
      <c r="G20" s="12">
        <v>0</v>
      </c>
      <c r="H20" s="12">
        <v>0</v>
      </c>
      <c r="I20" s="12">
        <v>4</v>
      </c>
      <c r="J20" s="12">
        <v>0</v>
      </c>
      <c r="K20" s="12">
        <v>0</v>
      </c>
      <c r="L20" s="12">
        <v>0</v>
      </c>
      <c r="M20" s="12">
        <v>48</v>
      </c>
      <c r="N20" s="12">
        <v>0</v>
      </c>
      <c r="O20" s="12">
        <v>62</v>
      </c>
      <c r="P20" s="12">
        <v>0</v>
      </c>
      <c r="Q20" s="12">
        <f t="shared" si="0"/>
        <v>878</v>
      </c>
    </row>
    <row r="21" spans="1:17" x14ac:dyDescent="0.15">
      <c r="A21" s="12" t="s">
        <v>173</v>
      </c>
      <c r="B21" s="12" t="s">
        <v>52</v>
      </c>
      <c r="C21" s="12">
        <v>0</v>
      </c>
      <c r="D21" s="12">
        <v>4</v>
      </c>
      <c r="E21" s="12">
        <v>467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32</v>
      </c>
      <c r="N21" s="12">
        <v>0</v>
      </c>
      <c r="O21" s="12">
        <v>12</v>
      </c>
      <c r="P21" s="12">
        <v>0</v>
      </c>
      <c r="Q21" s="12">
        <f t="shared" si="0"/>
        <v>515</v>
      </c>
    </row>
    <row r="22" spans="1:17" x14ac:dyDescent="0.15">
      <c r="A22" s="12" t="s">
        <v>173</v>
      </c>
      <c r="B22" s="12" t="s">
        <v>53</v>
      </c>
      <c r="C22" s="12">
        <v>0</v>
      </c>
      <c r="D22" s="12">
        <v>5</v>
      </c>
      <c r="E22" s="12">
        <v>618</v>
      </c>
      <c r="F22" s="12">
        <v>0</v>
      </c>
      <c r="G22" s="12">
        <v>0</v>
      </c>
      <c r="H22" s="12">
        <v>0</v>
      </c>
      <c r="I22" s="12">
        <v>7</v>
      </c>
      <c r="J22" s="12">
        <v>0</v>
      </c>
      <c r="K22" s="12">
        <v>0</v>
      </c>
      <c r="L22" s="12">
        <v>0</v>
      </c>
      <c r="M22" s="12">
        <v>58</v>
      </c>
      <c r="N22" s="12">
        <v>0</v>
      </c>
      <c r="O22" s="12">
        <v>9</v>
      </c>
      <c r="P22" s="12">
        <v>0</v>
      </c>
      <c r="Q22" s="12">
        <f t="shared" si="0"/>
        <v>697</v>
      </c>
    </row>
    <row r="23" spans="1:17" x14ac:dyDescent="0.15">
      <c r="A23" s="12" t="s">
        <v>173</v>
      </c>
      <c r="B23" s="12" t="s">
        <v>54</v>
      </c>
      <c r="C23" s="12">
        <v>0</v>
      </c>
      <c r="D23" s="12">
        <v>5</v>
      </c>
      <c r="E23" s="12">
        <v>505</v>
      </c>
      <c r="F23" s="12">
        <v>0</v>
      </c>
      <c r="G23" s="12">
        <v>0</v>
      </c>
      <c r="H23" s="12">
        <v>0</v>
      </c>
      <c r="I23" s="12">
        <v>0</v>
      </c>
      <c r="J23" s="12">
        <v>1</v>
      </c>
      <c r="K23" s="12">
        <v>0</v>
      </c>
      <c r="L23" s="12">
        <v>0</v>
      </c>
      <c r="M23" s="12">
        <v>24</v>
      </c>
      <c r="N23" s="12">
        <v>0</v>
      </c>
      <c r="O23" s="12">
        <v>20</v>
      </c>
      <c r="P23" s="12">
        <v>1</v>
      </c>
      <c r="Q23" s="12">
        <f t="shared" si="0"/>
        <v>556</v>
      </c>
    </row>
    <row r="24" spans="1:17" x14ac:dyDescent="0.15">
      <c r="A24" s="12" t="s">
        <v>174</v>
      </c>
      <c r="B24" s="12" t="s">
        <v>93</v>
      </c>
      <c r="C24" s="12">
        <v>0</v>
      </c>
      <c r="D24" s="12">
        <v>9</v>
      </c>
      <c r="E24" s="12">
        <v>211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38</v>
      </c>
      <c r="N24" s="12">
        <v>0</v>
      </c>
      <c r="O24" s="12">
        <v>30</v>
      </c>
      <c r="P24" s="12">
        <v>0</v>
      </c>
      <c r="Q24" s="12">
        <f t="shared" si="0"/>
        <v>288</v>
      </c>
    </row>
    <row r="25" spans="1:17" x14ac:dyDescent="0.15">
      <c r="A25" s="12" t="s">
        <v>174</v>
      </c>
      <c r="B25" s="12" t="s">
        <v>94</v>
      </c>
      <c r="C25" s="12">
        <v>0</v>
      </c>
      <c r="D25" s="12">
        <v>3</v>
      </c>
      <c r="E25" s="12">
        <v>183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17</v>
      </c>
      <c r="N25" s="12">
        <v>0</v>
      </c>
      <c r="O25" s="12">
        <v>14</v>
      </c>
      <c r="P25" s="12">
        <v>0</v>
      </c>
      <c r="Q25" s="12">
        <f t="shared" si="0"/>
        <v>217</v>
      </c>
    </row>
    <row r="26" spans="1:17" x14ac:dyDescent="0.15">
      <c r="A26" s="12" t="s">
        <v>174</v>
      </c>
      <c r="B26" s="12" t="s">
        <v>56</v>
      </c>
      <c r="C26" s="12">
        <v>0</v>
      </c>
      <c r="D26" s="12">
        <v>7</v>
      </c>
      <c r="E26" s="12">
        <v>203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32</v>
      </c>
      <c r="N26" s="12">
        <v>0</v>
      </c>
      <c r="O26" s="12">
        <v>4</v>
      </c>
      <c r="P26" s="12">
        <v>0</v>
      </c>
      <c r="Q26" s="12">
        <f t="shared" si="0"/>
        <v>246</v>
      </c>
    </row>
    <row r="27" spans="1:17" x14ac:dyDescent="0.15">
      <c r="A27" s="12" t="s">
        <v>174</v>
      </c>
      <c r="B27" s="12" t="s">
        <v>95</v>
      </c>
      <c r="C27" s="12">
        <v>0</v>
      </c>
      <c r="D27" s="12">
        <v>0</v>
      </c>
      <c r="E27" s="12">
        <v>150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1</v>
      </c>
      <c r="M27" s="12">
        <v>18</v>
      </c>
      <c r="N27" s="12">
        <v>0</v>
      </c>
      <c r="O27" s="12">
        <v>7</v>
      </c>
      <c r="P27" s="12">
        <v>0</v>
      </c>
      <c r="Q27" s="12">
        <f t="shared" si="0"/>
        <v>176</v>
      </c>
    </row>
    <row r="28" spans="1:17" x14ac:dyDescent="0.15">
      <c r="A28" s="12" t="s">
        <v>174</v>
      </c>
      <c r="B28" s="12" t="s">
        <v>96</v>
      </c>
      <c r="C28" s="12">
        <v>0</v>
      </c>
      <c r="D28" s="12">
        <v>9</v>
      </c>
      <c r="E28" s="12">
        <v>190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1</v>
      </c>
      <c r="M28" s="12">
        <v>12</v>
      </c>
      <c r="N28" s="12">
        <v>0</v>
      </c>
      <c r="O28" s="12">
        <v>13</v>
      </c>
      <c r="P28" s="12">
        <v>0</v>
      </c>
      <c r="Q28" s="12">
        <f t="shared" si="0"/>
        <v>225</v>
      </c>
    </row>
    <row r="29" spans="1:17" x14ac:dyDescent="0.15">
      <c r="A29" s="12" t="s">
        <v>175</v>
      </c>
      <c r="B29" s="12" t="s">
        <v>97</v>
      </c>
      <c r="C29" s="12">
        <v>0</v>
      </c>
      <c r="D29" s="12">
        <v>5</v>
      </c>
      <c r="E29" s="12">
        <v>455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7</v>
      </c>
      <c r="N29" s="12">
        <v>0</v>
      </c>
      <c r="O29" s="12">
        <v>3</v>
      </c>
      <c r="P29" s="12">
        <v>0</v>
      </c>
      <c r="Q29" s="12">
        <f t="shared" si="0"/>
        <v>470</v>
      </c>
    </row>
    <row r="30" spans="1:17" x14ac:dyDescent="0.15">
      <c r="A30" s="12" t="s">
        <v>175</v>
      </c>
      <c r="B30" s="12" t="s">
        <v>98</v>
      </c>
      <c r="C30" s="12">
        <v>0</v>
      </c>
      <c r="D30" s="12">
        <v>1</v>
      </c>
      <c r="E30" s="12">
        <v>285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</v>
      </c>
      <c r="N30" s="12">
        <v>0</v>
      </c>
      <c r="O30" s="12">
        <v>1</v>
      </c>
      <c r="P30" s="12">
        <v>0</v>
      </c>
      <c r="Q30" s="12">
        <f t="shared" si="0"/>
        <v>288</v>
      </c>
    </row>
    <row r="31" spans="1:17" x14ac:dyDescent="0.15">
      <c r="A31" s="12" t="s">
        <v>175</v>
      </c>
      <c r="B31" s="12" t="s">
        <v>99</v>
      </c>
      <c r="C31" s="12">
        <v>0</v>
      </c>
      <c r="D31" s="12">
        <v>1</v>
      </c>
      <c r="E31" s="12">
        <v>376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2</v>
      </c>
      <c r="N31" s="12">
        <v>0</v>
      </c>
      <c r="O31" s="12">
        <v>9</v>
      </c>
      <c r="P31" s="12">
        <v>0</v>
      </c>
      <c r="Q31" s="12">
        <f t="shared" si="0"/>
        <v>388</v>
      </c>
    </row>
    <row r="32" spans="1:17" x14ac:dyDescent="0.15">
      <c r="A32" s="12" t="s">
        <v>175</v>
      </c>
      <c r="B32" s="12" t="s">
        <v>100</v>
      </c>
      <c r="C32" s="12">
        <v>0</v>
      </c>
      <c r="D32" s="12">
        <v>4</v>
      </c>
      <c r="E32" s="12">
        <v>283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2</v>
      </c>
      <c r="N32" s="12">
        <v>0</v>
      </c>
      <c r="O32" s="12">
        <v>2</v>
      </c>
      <c r="P32" s="12">
        <v>0</v>
      </c>
      <c r="Q32" s="12">
        <f t="shared" si="0"/>
        <v>291</v>
      </c>
    </row>
    <row r="33" spans="1:17" x14ac:dyDescent="0.15">
      <c r="A33" s="12" t="s">
        <v>176</v>
      </c>
      <c r="B33" s="12" t="s">
        <v>112</v>
      </c>
      <c r="C33" s="12">
        <v>0</v>
      </c>
      <c r="D33" s="12">
        <v>1</v>
      </c>
      <c r="E33" s="12">
        <v>207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f t="shared" si="0"/>
        <v>208</v>
      </c>
    </row>
    <row r="34" spans="1:17" x14ac:dyDescent="0.15">
      <c r="A34" s="12" t="s">
        <v>176</v>
      </c>
      <c r="B34" s="12" t="s">
        <v>101</v>
      </c>
      <c r="C34" s="12">
        <v>0</v>
      </c>
      <c r="D34" s="12">
        <v>0</v>
      </c>
      <c r="E34" s="12">
        <v>144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f t="shared" si="0"/>
        <v>144</v>
      </c>
    </row>
    <row r="35" spans="1:17" x14ac:dyDescent="0.15">
      <c r="A35" s="12" t="s">
        <v>176</v>
      </c>
      <c r="B35" s="12" t="s">
        <v>57</v>
      </c>
      <c r="C35" s="12">
        <v>0</v>
      </c>
      <c r="D35" s="12">
        <v>0</v>
      </c>
      <c r="E35" s="12">
        <v>138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f t="shared" si="0"/>
        <v>138</v>
      </c>
    </row>
    <row r="36" spans="1:17" x14ac:dyDescent="0.15">
      <c r="A36" s="52" t="s">
        <v>177</v>
      </c>
      <c r="B36" s="53"/>
      <c r="C36" s="14">
        <f>SUM(C5:C35)</f>
        <v>0</v>
      </c>
      <c r="D36" s="14">
        <f t="shared" ref="D36:Q36" si="1">SUM(D5:D35)</f>
        <v>73</v>
      </c>
      <c r="E36" s="14">
        <f t="shared" si="1"/>
        <v>9315</v>
      </c>
      <c r="F36" s="14">
        <f t="shared" si="1"/>
        <v>0</v>
      </c>
      <c r="G36" s="14">
        <f t="shared" si="1"/>
        <v>0</v>
      </c>
      <c r="H36" s="14">
        <f t="shared" si="1"/>
        <v>0</v>
      </c>
      <c r="I36" s="14">
        <f t="shared" si="1"/>
        <v>38</v>
      </c>
      <c r="J36" s="14">
        <f t="shared" si="1"/>
        <v>21</v>
      </c>
      <c r="K36" s="14">
        <f t="shared" si="1"/>
        <v>0</v>
      </c>
      <c r="L36" s="14">
        <f t="shared" si="1"/>
        <v>3</v>
      </c>
      <c r="M36" s="14">
        <f t="shared" si="1"/>
        <v>540</v>
      </c>
      <c r="N36" s="14">
        <f t="shared" si="1"/>
        <v>0</v>
      </c>
      <c r="O36" s="14">
        <f t="shared" si="1"/>
        <v>330</v>
      </c>
      <c r="P36" s="14">
        <f t="shared" si="1"/>
        <v>1</v>
      </c>
      <c r="Q36" s="14">
        <f t="shared" si="1"/>
        <v>10321</v>
      </c>
    </row>
  </sheetData>
  <mergeCells count="4">
    <mergeCell ref="A1:Q1"/>
    <mergeCell ref="A36:B36"/>
    <mergeCell ref="A3:A4"/>
    <mergeCell ref="B3:B4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85" zoomScaleNormal="85" workbookViewId="0">
      <selection sqref="A1:Q1"/>
    </sheetView>
  </sheetViews>
  <sheetFormatPr defaultRowHeight="13.5" x14ac:dyDescent="0.15"/>
  <sheetData>
    <row r="1" spans="1:17" ht="18.75" x14ac:dyDescent="0.25">
      <c r="A1" s="51" t="s">
        <v>178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x14ac:dyDescent="0.15">
      <c r="Q2" s="16" t="s">
        <v>65</v>
      </c>
    </row>
    <row r="3" spans="1:17" x14ac:dyDescent="0.15">
      <c r="A3" s="49" t="s">
        <v>102</v>
      </c>
      <c r="B3" s="49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67</v>
      </c>
    </row>
    <row r="4" spans="1:17" ht="40.5" x14ac:dyDescent="0.15">
      <c r="A4" s="50"/>
      <c r="B4" s="50"/>
      <c r="C4" s="7" t="s">
        <v>146</v>
      </c>
      <c r="D4" s="7" t="s">
        <v>39</v>
      </c>
      <c r="E4" s="7" t="s">
        <v>40</v>
      </c>
      <c r="F4" s="7" t="s">
        <v>147</v>
      </c>
      <c r="G4" s="7" t="s">
        <v>41</v>
      </c>
      <c r="H4" s="7" t="s">
        <v>148</v>
      </c>
      <c r="I4" s="7" t="s">
        <v>149</v>
      </c>
      <c r="J4" s="7" t="s">
        <v>151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153</v>
      </c>
      <c r="Q4" s="7" t="s">
        <v>67</v>
      </c>
    </row>
    <row r="5" spans="1:17" x14ac:dyDescent="0.15">
      <c r="A5" s="12" t="s">
        <v>103</v>
      </c>
      <c r="B5" s="12" t="s">
        <v>2</v>
      </c>
      <c r="C5" s="12">
        <v>0</v>
      </c>
      <c r="D5" s="12">
        <v>0</v>
      </c>
      <c r="E5" s="12">
        <v>28</v>
      </c>
      <c r="F5" s="12">
        <v>0</v>
      </c>
      <c r="G5" s="12">
        <v>3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f>SUM(C5:P5)</f>
        <v>31</v>
      </c>
    </row>
    <row r="6" spans="1:17" x14ac:dyDescent="0.15">
      <c r="A6" s="12" t="s">
        <v>103</v>
      </c>
      <c r="B6" s="12" t="s">
        <v>3</v>
      </c>
      <c r="C6" s="12">
        <v>0</v>
      </c>
      <c r="D6" s="12">
        <v>0</v>
      </c>
      <c r="E6" s="12">
        <v>29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f t="shared" ref="Q6:Q34" si="0">SUM(C6:P6)</f>
        <v>29</v>
      </c>
    </row>
    <row r="7" spans="1:17" x14ac:dyDescent="0.15">
      <c r="A7" s="12" t="s">
        <v>104</v>
      </c>
      <c r="B7" s="12" t="s">
        <v>83</v>
      </c>
      <c r="C7" s="12">
        <v>0</v>
      </c>
      <c r="D7" s="12">
        <v>0</v>
      </c>
      <c r="E7" s="12">
        <v>48</v>
      </c>
      <c r="F7" s="12">
        <v>0</v>
      </c>
      <c r="G7" s="12">
        <v>1</v>
      </c>
      <c r="H7" s="12">
        <v>0</v>
      </c>
      <c r="I7" s="12">
        <v>3</v>
      </c>
      <c r="J7" s="12">
        <v>0</v>
      </c>
      <c r="K7" s="12">
        <v>2</v>
      </c>
      <c r="L7" s="12">
        <v>0</v>
      </c>
      <c r="M7" s="12">
        <v>1</v>
      </c>
      <c r="N7" s="12">
        <v>0</v>
      </c>
      <c r="O7" s="12">
        <v>0</v>
      </c>
      <c r="P7" s="12">
        <v>3</v>
      </c>
      <c r="Q7" s="12">
        <f t="shared" si="0"/>
        <v>58</v>
      </c>
    </row>
    <row r="8" spans="1:17" x14ac:dyDescent="0.15">
      <c r="A8" s="12" t="s">
        <v>104</v>
      </c>
      <c r="B8" s="12" t="s">
        <v>47</v>
      </c>
      <c r="C8" s="12">
        <v>0</v>
      </c>
      <c r="D8" s="12">
        <v>0</v>
      </c>
      <c r="E8" s="12">
        <v>31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1</v>
      </c>
      <c r="L8" s="12">
        <v>0</v>
      </c>
      <c r="M8" s="12">
        <v>1</v>
      </c>
      <c r="N8" s="12">
        <v>0</v>
      </c>
      <c r="O8" s="12">
        <v>0</v>
      </c>
      <c r="P8" s="12">
        <v>7</v>
      </c>
      <c r="Q8" s="12">
        <f t="shared" si="0"/>
        <v>40</v>
      </c>
    </row>
    <row r="9" spans="1:17" x14ac:dyDescent="0.15">
      <c r="A9" s="12" t="s">
        <v>104</v>
      </c>
      <c r="B9" s="12" t="s">
        <v>48</v>
      </c>
      <c r="C9" s="12">
        <v>0</v>
      </c>
      <c r="D9" s="12">
        <v>0</v>
      </c>
      <c r="E9" s="12">
        <v>46</v>
      </c>
      <c r="F9" s="12">
        <v>0</v>
      </c>
      <c r="G9" s="12">
        <v>2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7</v>
      </c>
      <c r="N9" s="12">
        <v>0</v>
      </c>
      <c r="O9" s="12">
        <v>0</v>
      </c>
      <c r="P9" s="12">
        <v>0</v>
      </c>
      <c r="Q9" s="12">
        <f t="shared" si="0"/>
        <v>55</v>
      </c>
    </row>
    <row r="10" spans="1:17" x14ac:dyDescent="0.15">
      <c r="A10" s="12" t="s">
        <v>104</v>
      </c>
      <c r="B10" s="12" t="s">
        <v>84</v>
      </c>
      <c r="C10" s="12">
        <v>0</v>
      </c>
      <c r="D10" s="12">
        <v>0</v>
      </c>
      <c r="E10" s="12">
        <v>59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6</v>
      </c>
      <c r="N10" s="12">
        <v>0</v>
      </c>
      <c r="O10" s="12">
        <v>0</v>
      </c>
      <c r="P10" s="12">
        <v>0</v>
      </c>
      <c r="Q10" s="12">
        <f t="shared" si="0"/>
        <v>65</v>
      </c>
    </row>
    <row r="11" spans="1:17" x14ac:dyDescent="0.15">
      <c r="A11" s="12" t="s">
        <v>105</v>
      </c>
      <c r="B11" s="12" t="s">
        <v>85</v>
      </c>
      <c r="C11" s="12">
        <v>0</v>
      </c>
      <c r="D11" s="12">
        <v>0</v>
      </c>
      <c r="E11" s="12">
        <v>40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6</v>
      </c>
      <c r="N11" s="12">
        <v>0</v>
      </c>
      <c r="O11" s="12">
        <v>0</v>
      </c>
      <c r="P11" s="12">
        <v>0</v>
      </c>
      <c r="Q11" s="12">
        <f t="shared" si="0"/>
        <v>46</v>
      </c>
    </row>
    <row r="12" spans="1:17" x14ac:dyDescent="0.15">
      <c r="A12" s="12" t="s">
        <v>105</v>
      </c>
      <c r="B12" s="12" t="s">
        <v>49</v>
      </c>
      <c r="C12" s="12">
        <v>0</v>
      </c>
      <c r="D12" s="12">
        <v>0</v>
      </c>
      <c r="E12" s="12">
        <v>33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1</v>
      </c>
      <c r="M12" s="12">
        <v>2</v>
      </c>
      <c r="N12" s="12">
        <v>0</v>
      </c>
      <c r="O12" s="12">
        <v>0</v>
      </c>
      <c r="P12" s="12">
        <v>0</v>
      </c>
      <c r="Q12" s="12">
        <f t="shared" si="0"/>
        <v>36</v>
      </c>
    </row>
    <row r="13" spans="1:17" x14ac:dyDescent="0.15">
      <c r="A13" s="12" t="s">
        <v>105</v>
      </c>
      <c r="B13" s="12" t="s">
        <v>86</v>
      </c>
      <c r="C13" s="12">
        <v>0</v>
      </c>
      <c r="D13" s="12">
        <v>0</v>
      </c>
      <c r="E13" s="12">
        <v>55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5</v>
      </c>
      <c r="N13" s="12">
        <v>0</v>
      </c>
      <c r="O13" s="12">
        <v>0</v>
      </c>
      <c r="P13" s="12">
        <v>0</v>
      </c>
      <c r="Q13" s="12">
        <f t="shared" si="0"/>
        <v>60</v>
      </c>
    </row>
    <row r="14" spans="1:17" x14ac:dyDescent="0.15">
      <c r="A14" s="12" t="s">
        <v>105</v>
      </c>
      <c r="B14" s="12" t="s">
        <v>87</v>
      </c>
      <c r="C14" s="12">
        <v>0</v>
      </c>
      <c r="D14" s="12">
        <v>0</v>
      </c>
      <c r="E14" s="12">
        <v>103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9</v>
      </c>
      <c r="N14" s="12">
        <v>0</v>
      </c>
      <c r="O14" s="12">
        <v>0</v>
      </c>
      <c r="P14" s="12">
        <v>0</v>
      </c>
      <c r="Q14" s="12">
        <f t="shared" si="0"/>
        <v>112</v>
      </c>
    </row>
    <row r="15" spans="1:17" x14ac:dyDescent="0.15">
      <c r="A15" s="12" t="s">
        <v>106</v>
      </c>
      <c r="B15" s="12" t="s">
        <v>88</v>
      </c>
      <c r="C15" s="12">
        <v>0</v>
      </c>
      <c r="D15" s="12">
        <v>0</v>
      </c>
      <c r="E15" s="12">
        <v>310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6</v>
      </c>
      <c r="N15" s="12">
        <v>0</v>
      </c>
      <c r="O15" s="12">
        <v>0</v>
      </c>
      <c r="P15" s="12">
        <v>0</v>
      </c>
      <c r="Q15" s="12">
        <f t="shared" si="0"/>
        <v>316</v>
      </c>
    </row>
    <row r="16" spans="1:17" x14ac:dyDescent="0.15">
      <c r="A16" s="12" t="s">
        <v>106</v>
      </c>
      <c r="B16" s="12" t="s">
        <v>50</v>
      </c>
      <c r="C16" s="12">
        <v>0</v>
      </c>
      <c r="D16" s="12">
        <v>0</v>
      </c>
      <c r="E16" s="12">
        <v>598</v>
      </c>
      <c r="F16" s="12">
        <v>0</v>
      </c>
      <c r="G16" s="12">
        <v>0</v>
      </c>
      <c r="H16" s="12">
        <v>0</v>
      </c>
      <c r="I16" s="12">
        <v>10</v>
      </c>
      <c r="J16" s="12">
        <v>0</v>
      </c>
      <c r="K16" s="12">
        <v>0</v>
      </c>
      <c r="L16" s="12">
        <v>0</v>
      </c>
      <c r="M16" s="12">
        <v>15</v>
      </c>
      <c r="N16" s="12">
        <v>0</v>
      </c>
      <c r="O16" s="12">
        <v>0</v>
      </c>
      <c r="P16" s="12">
        <v>0</v>
      </c>
      <c r="Q16" s="12">
        <f t="shared" si="0"/>
        <v>623</v>
      </c>
    </row>
    <row r="17" spans="1:17" x14ac:dyDescent="0.15">
      <c r="A17" s="12" t="s">
        <v>106</v>
      </c>
      <c r="B17" s="12" t="s">
        <v>89</v>
      </c>
      <c r="C17" s="12">
        <v>0</v>
      </c>
      <c r="D17" s="12">
        <v>0</v>
      </c>
      <c r="E17" s="12">
        <v>394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6</v>
      </c>
      <c r="N17" s="12">
        <v>0</v>
      </c>
      <c r="O17" s="12">
        <v>0</v>
      </c>
      <c r="P17" s="12">
        <v>0</v>
      </c>
      <c r="Q17" s="12">
        <f t="shared" si="0"/>
        <v>400</v>
      </c>
    </row>
    <row r="18" spans="1:17" x14ac:dyDescent="0.15">
      <c r="A18" s="12" t="s">
        <v>106</v>
      </c>
      <c r="B18" s="12" t="s">
        <v>51</v>
      </c>
      <c r="C18" s="12">
        <v>0</v>
      </c>
      <c r="D18" s="12">
        <v>0</v>
      </c>
      <c r="E18" s="12">
        <v>181</v>
      </c>
      <c r="F18" s="12">
        <v>0</v>
      </c>
      <c r="G18" s="12">
        <v>0</v>
      </c>
      <c r="H18" s="12">
        <v>0</v>
      </c>
      <c r="I18" s="12">
        <v>0</v>
      </c>
      <c r="J18" s="12">
        <v>2</v>
      </c>
      <c r="K18" s="12">
        <v>0</v>
      </c>
      <c r="L18" s="12">
        <v>1</v>
      </c>
      <c r="M18" s="12">
        <v>0</v>
      </c>
      <c r="N18" s="12">
        <v>0</v>
      </c>
      <c r="O18" s="12">
        <v>0</v>
      </c>
      <c r="P18" s="12">
        <v>1</v>
      </c>
      <c r="Q18" s="12">
        <f t="shared" si="0"/>
        <v>185</v>
      </c>
    </row>
    <row r="19" spans="1:17" x14ac:dyDescent="0.15">
      <c r="A19" s="12" t="s">
        <v>106</v>
      </c>
      <c r="B19" s="12" t="s">
        <v>90</v>
      </c>
      <c r="C19" s="12">
        <v>0</v>
      </c>
      <c r="D19" s="12">
        <v>3</v>
      </c>
      <c r="E19" s="12">
        <v>342</v>
      </c>
      <c r="F19" s="12">
        <v>0</v>
      </c>
      <c r="G19" s="12">
        <v>0</v>
      </c>
      <c r="H19" s="12">
        <v>0</v>
      </c>
      <c r="I19" s="12">
        <v>0</v>
      </c>
      <c r="J19" s="12">
        <v>7</v>
      </c>
      <c r="K19" s="12">
        <v>0</v>
      </c>
      <c r="L19" s="12">
        <v>0</v>
      </c>
      <c r="M19" s="12">
        <v>18</v>
      </c>
      <c r="N19" s="12">
        <v>0</v>
      </c>
      <c r="O19" s="12">
        <v>0</v>
      </c>
      <c r="P19" s="12">
        <v>0</v>
      </c>
      <c r="Q19" s="12">
        <f t="shared" si="0"/>
        <v>370</v>
      </c>
    </row>
    <row r="20" spans="1:17" x14ac:dyDescent="0.15">
      <c r="A20" s="12" t="s">
        <v>107</v>
      </c>
      <c r="B20" s="12" t="s">
        <v>91</v>
      </c>
      <c r="C20" s="12">
        <v>0</v>
      </c>
      <c r="D20" s="12">
        <v>3</v>
      </c>
      <c r="E20" s="12">
        <v>193</v>
      </c>
      <c r="F20" s="12">
        <v>0</v>
      </c>
      <c r="G20" s="12">
        <v>0</v>
      </c>
      <c r="H20" s="12">
        <v>0</v>
      </c>
      <c r="I20" s="12">
        <v>1</v>
      </c>
      <c r="J20" s="12">
        <v>8</v>
      </c>
      <c r="K20" s="12">
        <v>2</v>
      </c>
      <c r="L20" s="12">
        <v>0</v>
      </c>
      <c r="M20" s="12">
        <v>12</v>
      </c>
      <c r="N20" s="12">
        <v>2</v>
      </c>
      <c r="O20" s="12">
        <v>0</v>
      </c>
      <c r="P20" s="12">
        <v>0</v>
      </c>
      <c r="Q20" s="12">
        <f t="shared" si="0"/>
        <v>221</v>
      </c>
    </row>
    <row r="21" spans="1:17" x14ac:dyDescent="0.15">
      <c r="A21" s="12" t="s">
        <v>107</v>
      </c>
      <c r="B21" s="12" t="s">
        <v>52</v>
      </c>
      <c r="C21" s="12">
        <v>0</v>
      </c>
      <c r="D21" s="12">
        <v>1</v>
      </c>
      <c r="E21" s="12">
        <v>120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2</v>
      </c>
      <c r="L21" s="12">
        <v>1</v>
      </c>
      <c r="M21" s="12">
        <v>19</v>
      </c>
      <c r="N21" s="12">
        <v>0</v>
      </c>
      <c r="O21" s="12">
        <v>0</v>
      </c>
      <c r="P21" s="12">
        <v>2</v>
      </c>
      <c r="Q21" s="12">
        <f t="shared" si="0"/>
        <v>145</v>
      </c>
    </row>
    <row r="22" spans="1:17" x14ac:dyDescent="0.15">
      <c r="A22" s="12" t="s">
        <v>107</v>
      </c>
      <c r="B22" s="12" t="s">
        <v>53</v>
      </c>
      <c r="C22" s="12">
        <v>0</v>
      </c>
      <c r="D22" s="12">
        <v>1</v>
      </c>
      <c r="E22" s="12">
        <v>212</v>
      </c>
      <c r="F22" s="12">
        <v>0</v>
      </c>
      <c r="G22" s="12">
        <v>0</v>
      </c>
      <c r="H22" s="12">
        <v>0</v>
      </c>
      <c r="I22" s="12">
        <v>1</v>
      </c>
      <c r="J22" s="12">
        <v>0</v>
      </c>
      <c r="K22" s="12">
        <v>0</v>
      </c>
      <c r="L22" s="12">
        <v>0</v>
      </c>
      <c r="M22" s="12">
        <v>37</v>
      </c>
      <c r="N22" s="12">
        <v>1</v>
      </c>
      <c r="O22" s="12">
        <v>0</v>
      </c>
      <c r="P22" s="12">
        <v>1</v>
      </c>
      <c r="Q22" s="12">
        <f t="shared" si="0"/>
        <v>253</v>
      </c>
    </row>
    <row r="23" spans="1:17" x14ac:dyDescent="0.15">
      <c r="A23" s="12" t="s">
        <v>107</v>
      </c>
      <c r="B23" s="12" t="s">
        <v>54</v>
      </c>
      <c r="C23" s="12">
        <v>0</v>
      </c>
      <c r="D23" s="12">
        <v>0</v>
      </c>
      <c r="E23" s="12">
        <v>249</v>
      </c>
      <c r="F23" s="12">
        <v>0</v>
      </c>
      <c r="G23" s="12">
        <v>0</v>
      </c>
      <c r="H23" s="12">
        <v>0</v>
      </c>
      <c r="I23" s="12">
        <v>0</v>
      </c>
      <c r="J23" s="12">
        <v>2</v>
      </c>
      <c r="K23" s="12">
        <v>0</v>
      </c>
      <c r="L23" s="12">
        <v>0</v>
      </c>
      <c r="M23" s="12">
        <v>29</v>
      </c>
      <c r="N23" s="12">
        <v>0</v>
      </c>
      <c r="O23" s="12">
        <v>0</v>
      </c>
      <c r="P23" s="12">
        <v>0</v>
      </c>
      <c r="Q23" s="12">
        <f t="shared" si="0"/>
        <v>280</v>
      </c>
    </row>
    <row r="24" spans="1:17" x14ac:dyDescent="0.15">
      <c r="A24" s="12" t="s">
        <v>108</v>
      </c>
      <c r="B24" s="12" t="s">
        <v>93</v>
      </c>
      <c r="C24" s="12">
        <v>0</v>
      </c>
      <c r="D24" s="12">
        <v>1</v>
      </c>
      <c r="E24" s="12">
        <v>258</v>
      </c>
      <c r="F24" s="12">
        <v>0</v>
      </c>
      <c r="G24" s="12">
        <v>0</v>
      </c>
      <c r="H24" s="12">
        <v>0</v>
      </c>
      <c r="I24" s="12">
        <v>2</v>
      </c>
      <c r="J24" s="12">
        <v>4</v>
      </c>
      <c r="K24" s="12">
        <v>0</v>
      </c>
      <c r="L24" s="12">
        <v>1</v>
      </c>
      <c r="M24" s="12">
        <v>11</v>
      </c>
      <c r="N24" s="12">
        <v>0</v>
      </c>
      <c r="O24" s="12">
        <v>0</v>
      </c>
      <c r="P24" s="12">
        <v>0</v>
      </c>
      <c r="Q24" s="12">
        <f t="shared" si="0"/>
        <v>277</v>
      </c>
    </row>
    <row r="25" spans="1:17" x14ac:dyDescent="0.15">
      <c r="A25" s="12" t="s">
        <v>108</v>
      </c>
      <c r="B25" s="12" t="s">
        <v>56</v>
      </c>
      <c r="C25" s="12">
        <v>0</v>
      </c>
      <c r="D25" s="12">
        <v>7</v>
      </c>
      <c r="E25" s="12">
        <v>512</v>
      </c>
      <c r="F25" s="12">
        <v>0</v>
      </c>
      <c r="G25" s="12">
        <v>0</v>
      </c>
      <c r="H25" s="12">
        <v>3</v>
      </c>
      <c r="I25" s="12">
        <v>0</v>
      </c>
      <c r="J25" s="12">
        <v>0</v>
      </c>
      <c r="K25" s="12">
        <v>0</v>
      </c>
      <c r="L25" s="12">
        <v>0</v>
      </c>
      <c r="M25" s="12">
        <v>5</v>
      </c>
      <c r="N25" s="12">
        <v>0</v>
      </c>
      <c r="O25" s="12">
        <v>3</v>
      </c>
      <c r="P25" s="12">
        <v>0</v>
      </c>
      <c r="Q25" s="12">
        <f t="shared" si="0"/>
        <v>530</v>
      </c>
    </row>
    <row r="26" spans="1:17" x14ac:dyDescent="0.15">
      <c r="A26" s="12" t="s">
        <v>108</v>
      </c>
      <c r="B26" s="12" t="s">
        <v>95</v>
      </c>
      <c r="C26" s="12">
        <v>0</v>
      </c>
      <c r="D26" s="12">
        <v>3</v>
      </c>
      <c r="E26" s="12">
        <v>212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1</v>
      </c>
      <c r="L26" s="12">
        <v>0</v>
      </c>
      <c r="M26" s="12">
        <v>21</v>
      </c>
      <c r="N26" s="12">
        <v>0</v>
      </c>
      <c r="O26" s="12">
        <v>0</v>
      </c>
      <c r="P26" s="12">
        <v>0</v>
      </c>
      <c r="Q26" s="12">
        <f t="shared" si="0"/>
        <v>237</v>
      </c>
    </row>
    <row r="27" spans="1:17" x14ac:dyDescent="0.15">
      <c r="A27" s="12" t="s">
        <v>108</v>
      </c>
      <c r="B27" s="12" t="s">
        <v>96</v>
      </c>
      <c r="C27" s="12">
        <v>0</v>
      </c>
      <c r="D27" s="12">
        <v>0</v>
      </c>
      <c r="E27" s="12">
        <v>361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4</v>
      </c>
      <c r="N27" s="12">
        <v>0</v>
      </c>
      <c r="O27" s="12">
        <v>2</v>
      </c>
      <c r="P27" s="12">
        <v>0</v>
      </c>
      <c r="Q27" s="12">
        <f t="shared" si="0"/>
        <v>367</v>
      </c>
    </row>
    <row r="28" spans="1:17" x14ac:dyDescent="0.15">
      <c r="A28" s="12" t="s">
        <v>109</v>
      </c>
      <c r="B28" s="12" t="s">
        <v>97</v>
      </c>
      <c r="C28" s="12">
        <v>0</v>
      </c>
      <c r="D28" s="12">
        <v>9</v>
      </c>
      <c r="E28" s="12">
        <v>250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24</v>
      </c>
      <c r="N28" s="12">
        <v>0</v>
      </c>
      <c r="O28" s="12">
        <v>0</v>
      </c>
      <c r="P28" s="12">
        <v>1</v>
      </c>
      <c r="Q28" s="12">
        <f t="shared" si="0"/>
        <v>284</v>
      </c>
    </row>
    <row r="29" spans="1:17" x14ac:dyDescent="0.15">
      <c r="A29" s="12" t="s">
        <v>109</v>
      </c>
      <c r="B29" s="12" t="s">
        <v>98</v>
      </c>
      <c r="C29" s="12">
        <v>0</v>
      </c>
      <c r="D29" s="12">
        <v>7</v>
      </c>
      <c r="E29" s="12">
        <v>323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2</v>
      </c>
      <c r="L29" s="12">
        <v>0</v>
      </c>
      <c r="M29" s="12">
        <v>13</v>
      </c>
      <c r="N29" s="12">
        <v>0</v>
      </c>
      <c r="O29" s="12">
        <v>0</v>
      </c>
      <c r="P29" s="12">
        <v>1</v>
      </c>
      <c r="Q29" s="12">
        <f t="shared" si="0"/>
        <v>346</v>
      </c>
    </row>
    <row r="30" spans="1:17" x14ac:dyDescent="0.15">
      <c r="A30" s="12" t="s">
        <v>109</v>
      </c>
      <c r="B30" s="12" t="s">
        <v>99</v>
      </c>
      <c r="C30" s="12">
        <v>0</v>
      </c>
      <c r="D30" s="12">
        <v>1</v>
      </c>
      <c r="E30" s="12">
        <v>386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16</v>
      </c>
      <c r="N30" s="12">
        <v>0</v>
      </c>
      <c r="O30" s="12">
        <v>0</v>
      </c>
      <c r="P30" s="12">
        <v>2</v>
      </c>
      <c r="Q30" s="12">
        <f t="shared" si="0"/>
        <v>405</v>
      </c>
    </row>
    <row r="31" spans="1:17" x14ac:dyDescent="0.15">
      <c r="A31" s="12" t="s">
        <v>109</v>
      </c>
      <c r="B31" s="12" t="s">
        <v>100</v>
      </c>
      <c r="C31" s="12">
        <v>0</v>
      </c>
      <c r="D31" s="12">
        <v>2</v>
      </c>
      <c r="E31" s="12">
        <v>317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5</v>
      </c>
      <c r="N31" s="12">
        <v>0</v>
      </c>
      <c r="O31" s="12">
        <v>0</v>
      </c>
      <c r="P31" s="12">
        <v>0</v>
      </c>
      <c r="Q31" s="12">
        <f t="shared" si="0"/>
        <v>324</v>
      </c>
    </row>
    <row r="32" spans="1:17" x14ac:dyDescent="0.15">
      <c r="A32" s="12" t="s">
        <v>179</v>
      </c>
      <c r="B32" s="12" t="s">
        <v>112</v>
      </c>
      <c r="C32" s="12">
        <v>0</v>
      </c>
      <c r="D32" s="12">
        <v>3</v>
      </c>
      <c r="E32" s="12">
        <v>387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8</v>
      </c>
      <c r="N32" s="12">
        <v>0</v>
      </c>
      <c r="O32" s="12">
        <v>0</v>
      </c>
      <c r="P32" s="12">
        <v>5</v>
      </c>
      <c r="Q32" s="12">
        <f t="shared" si="0"/>
        <v>403</v>
      </c>
    </row>
    <row r="33" spans="1:17" x14ac:dyDescent="0.15">
      <c r="A33" s="12" t="s">
        <v>179</v>
      </c>
      <c r="B33" s="12" t="s">
        <v>101</v>
      </c>
      <c r="C33" s="12">
        <v>0</v>
      </c>
      <c r="D33" s="12">
        <v>1</v>
      </c>
      <c r="E33" s="12">
        <v>342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2</v>
      </c>
      <c r="Q33" s="12">
        <f t="shared" si="0"/>
        <v>345</v>
      </c>
    </row>
    <row r="34" spans="1:17" x14ac:dyDescent="0.15">
      <c r="A34" s="12" t="s">
        <v>179</v>
      </c>
      <c r="B34" s="12" t="s">
        <v>57</v>
      </c>
      <c r="C34" s="12">
        <v>0</v>
      </c>
      <c r="D34" s="12">
        <v>0</v>
      </c>
      <c r="E34" s="12">
        <v>48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f t="shared" si="0"/>
        <v>48</v>
      </c>
    </row>
    <row r="35" spans="1:17" x14ac:dyDescent="0.15">
      <c r="A35" s="52" t="s">
        <v>110</v>
      </c>
      <c r="B35" s="53"/>
      <c r="C35" s="14">
        <f>SUM(C5:C34)</f>
        <v>0</v>
      </c>
      <c r="D35" s="14">
        <f t="shared" ref="D35:Q35" si="1">SUM(D5:D34)</f>
        <v>42</v>
      </c>
      <c r="E35" s="14">
        <f t="shared" si="1"/>
        <v>6467</v>
      </c>
      <c r="F35" s="14">
        <f t="shared" si="1"/>
        <v>0</v>
      </c>
      <c r="G35" s="14">
        <f t="shared" si="1"/>
        <v>6</v>
      </c>
      <c r="H35" s="14">
        <f t="shared" si="1"/>
        <v>3</v>
      </c>
      <c r="I35" s="14">
        <f t="shared" si="1"/>
        <v>17</v>
      </c>
      <c r="J35" s="14">
        <f t="shared" si="1"/>
        <v>23</v>
      </c>
      <c r="K35" s="14">
        <f t="shared" si="1"/>
        <v>10</v>
      </c>
      <c r="L35" s="14">
        <f t="shared" si="1"/>
        <v>4</v>
      </c>
      <c r="M35" s="14">
        <f t="shared" si="1"/>
        <v>286</v>
      </c>
      <c r="N35" s="14">
        <f t="shared" si="1"/>
        <v>3</v>
      </c>
      <c r="O35" s="14">
        <f t="shared" si="1"/>
        <v>5</v>
      </c>
      <c r="P35" s="14">
        <f t="shared" si="1"/>
        <v>25</v>
      </c>
      <c r="Q35" s="14">
        <f t="shared" si="1"/>
        <v>6891</v>
      </c>
    </row>
  </sheetData>
  <mergeCells count="4">
    <mergeCell ref="A1:Q1"/>
    <mergeCell ref="A3:A4"/>
    <mergeCell ref="B3:B4"/>
    <mergeCell ref="A35:B35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zoomScale="85" zoomScaleNormal="85" workbookViewId="0">
      <selection sqref="A1:Q1"/>
    </sheetView>
  </sheetViews>
  <sheetFormatPr defaultRowHeight="13.5" x14ac:dyDescent="0.15"/>
  <sheetData>
    <row r="1" spans="1:17" ht="18.75" x14ac:dyDescent="0.25">
      <c r="A1" s="51" t="s">
        <v>180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x14ac:dyDescent="0.15">
      <c r="Q2" s="16" t="s">
        <v>65</v>
      </c>
    </row>
    <row r="3" spans="1:17" x14ac:dyDescent="0.15">
      <c r="A3" s="49" t="s">
        <v>66</v>
      </c>
      <c r="B3" s="49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67</v>
      </c>
    </row>
    <row r="4" spans="1:17" ht="40.5" x14ac:dyDescent="0.15">
      <c r="A4" s="50"/>
      <c r="B4" s="50"/>
      <c r="C4" s="7" t="s">
        <v>146</v>
      </c>
      <c r="D4" s="7" t="s">
        <v>39</v>
      </c>
      <c r="E4" s="7" t="s">
        <v>40</v>
      </c>
      <c r="F4" s="7" t="s">
        <v>147</v>
      </c>
      <c r="G4" s="7" t="s">
        <v>41</v>
      </c>
      <c r="H4" s="7" t="s">
        <v>148</v>
      </c>
      <c r="I4" s="7" t="s">
        <v>149</v>
      </c>
      <c r="J4" s="7" t="s">
        <v>151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153</v>
      </c>
      <c r="Q4" s="7" t="s">
        <v>67</v>
      </c>
    </row>
    <row r="5" spans="1:17" x14ac:dyDescent="0.15">
      <c r="A5" s="12" t="s">
        <v>68</v>
      </c>
      <c r="B5" s="12" t="s">
        <v>3</v>
      </c>
      <c r="C5" s="12">
        <v>0</v>
      </c>
      <c r="D5" s="12">
        <v>0</v>
      </c>
      <c r="E5" s="12">
        <v>10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f>SUM(C5:P5)</f>
        <v>10</v>
      </c>
    </row>
    <row r="6" spans="1:17" x14ac:dyDescent="0.15">
      <c r="A6" s="12" t="s">
        <v>68</v>
      </c>
      <c r="B6" s="12" t="s">
        <v>4</v>
      </c>
      <c r="C6" s="12">
        <v>0</v>
      </c>
      <c r="D6" s="12">
        <v>0</v>
      </c>
      <c r="E6" s="12">
        <v>6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f t="shared" ref="Q6:Q35" si="0">SUM(C6:P6)</f>
        <v>6</v>
      </c>
    </row>
    <row r="7" spans="1:17" x14ac:dyDescent="0.15">
      <c r="A7" s="12" t="s">
        <v>69</v>
      </c>
      <c r="B7" s="12" t="s">
        <v>70</v>
      </c>
      <c r="C7" s="12">
        <v>0</v>
      </c>
      <c r="D7" s="12">
        <v>0</v>
      </c>
      <c r="E7" s="12">
        <v>12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f t="shared" si="0"/>
        <v>12</v>
      </c>
    </row>
    <row r="8" spans="1:17" x14ac:dyDescent="0.15">
      <c r="A8" s="12" t="s">
        <v>69</v>
      </c>
      <c r="B8" s="12" t="s">
        <v>5</v>
      </c>
      <c r="C8" s="12">
        <v>0</v>
      </c>
      <c r="D8" s="12">
        <v>0</v>
      </c>
      <c r="E8" s="12">
        <v>14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4</v>
      </c>
      <c r="N8" s="12">
        <v>0</v>
      </c>
      <c r="O8" s="12">
        <v>0</v>
      </c>
      <c r="P8" s="12">
        <v>0</v>
      </c>
      <c r="Q8" s="12">
        <f t="shared" si="0"/>
        <v>18</v>
      </c>
    </row>
    <row r="9" spans="1:17" x14ac:dyDescent="0.15">
      <c r="A9" s="12" t="s">
        <v>69</v>
      </c>
      <c r="B9" s="12" t="s">
        <v>6</v>
      </c>
      <c r="C9" s="12">
        <v>0</v>
      </c>
      <c r="D9" s="12">
        <v>0</v>
      </c>
      <c r="E9" s="12">
        <v>5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3</v>
      </c>
      <c r="N9" s="12">
        <v>0</v>
      </c>
      <c r="O9" s="12">
        <v>0</v>
      </c>
      <c r="P9" s="12">
        <v>0</v>
      </c>
      <c r="Q9" s="12">
        <f t="shared" si="0"/>
        <v>8</v>
      </c>
    </row>
    <row r="10" spans="1:17" x14ac:dyDescent="0.15">
      <c r="A10" s="12" t="s">
        <v>69</v>
      </c>
      <c r="B10" s="12" t="s">
        <v>7</v>
      </c>
      <c r="C10" s="12">
        <v>0</v>
      </c>
      <c r="D10" s="12">
        <v>0</v>
      </c>
      <c r="E10" s="12">
        <v>41</v>
      </c>
      <c r="F10" s="12">
        <v>0</v>
      </c>
      <c r="G10" s="12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4</v>
      </c>
      <c r="N10" s="12">
        <v>0</v>
      </c>
      <c r="O10" s="12">
        <v>0</v>
      </c>
      <c r="P10" s="12">
        <v>2</v>
      </c>
      <c r="Q10" s="12">
        <f t="shared" si="0"/>
        <v>48</v>
      </c>
    </row>
    <row r="11" spans="1:17" x14ac:dyDescent="0.15">
      <c r="A11" s="12" t="s">
        <v>71</v>
      </c>
      <c r="B11" s="12" t="s">
        <v>72</v>
      </c>
      <c r="C11" s="12">
        <v>0</v>
      </c>
      <c r="D11" s="12">
        <v>0</v>
      </c>
      <c r="E11" s="12">
        <v>48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6</v>
      </c>
      <c r="N11" s="12">
        <v>0</v>
      </c>
      <c r="O11" s="12">
        <v>0</v>
      </c>
      <c r="P11" s="12">
        <v>1</v>
      </c>
      <c r="Q11" s="12">
        <f t="shared" si="0"/>
        <v>55</v>
      </c>
    </row>
    <row r="12" spans="1:17" x14ac:dyDescent="0.15">
      <c r="A12" s="12" t="s">
        <v>71</v>
      </c>
      <c r="B12" s="12" t="s">
        <v>73</v>
      </c>
      <c r="C12" s="12">
        <v>0</v>
      </c>
      <c r="D12" s="12">
        <v>0</v>
      </c>
      <c r="E12" s="12">
        <v>72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12</v>
      </c>
      <c r="N12" s="12">
        <v>0</v>
      </c>
      <c r="O12" s="12">
        <v>6</v>
      </c>
      <c r="P12" s="12">
        <v>0</v>
      </c>
      <c r="Q12" s="12">
        <f t="shared" si="0"/>
        <v>90</v>
      </c>
    </row>
    <row r="13" spans="1:17" x14ac:dyDescent="0.15">
      <c r="A13" s="12" t="s">
        <v>71</v>
      </c>
      <c r="B13" s="12" t="s">
        <v>74</v>
      </c>
      <c r="C13" s="12">
        <v>0</v>
      </c>
      <c r="D13" s="12">
        <v>0</v>
      </c>
      <c r="E13" s="12">
        <v>128</v>
      </c>
      <c r="F13" s="12">
        <v>0</v>
      </c>
      <c r="G13" s="12">
        <v>1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12</v>
      </c>
      <c r="N13" s="12">
        <v>0</v>
      </c>
      <c r="O13" s="12">
        <v>0</v>
      </c>
      <c r="P13" s="12">
        <v>0</v>
      </c>
      <c r="Q13" s="12">
        <f t="shared" si="0"/>
        <v>141</v>
      </c>
    </row>
    <row r="14" spans="1:17" x14ac:dyDescent="0.15">
      <c r="A14" s="12" t="s">
        <v>71</v>
      </c>
      <c r="B14" s="12" t="s">
        <v>59</v>
      </c>
      <c r="C14" s="12">
        <v>0</v>
      </c>
      <c r="D14" s="12">
        <v>0</v>
      </c>
      <c r="E14" s="12">
        <v>234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f t="shared" si="0"/>
        <v>234</v>
      </c>
    </row>
    <row r="15" spans="1:17" x14ac:dyDescent="0.15">
      <c r="A15" s="12" t="s">
        <v>75</v>
      </c>
      <c r="B15" s="12" t="s">
        <v>76</v>
      </c>
      <c r="C15" s="12">
        <v>1</v>
      </c>
      <c r="D15" s="12">
        <v>1</v>
      </c>
      <c r="E15" s="12">
        <v>509</v>
      </c>
      <c r="F15" s="12">
        <v>0</v>
      </c>
      <c r="G15" s="12">
        <v>4</v>
      </c>
      <c r="H15" s="12">
        <v>0</v>
      </c>
      <c r="I15" s="12">
        <v>1</v>
      </c>
      <c r="J15" s="12">
        <v>0</v>
      </c>
      <c r="K15" s="12">
        <v>0</v>
      </c>
      <c r="L15" s="12">
        <v>0</v>
      </c>
      <c r="M15" s="12">
        <v>35</v>
      </c>
      <c r="N15" s="12">
        <v>0</v>
      </c>
      <c r="O15" s="12">
        <v>0</v>
      </c>
      <c r="P15" s="12">
        <v>0</v>
      </c>
      <c r="Q15" s="12">
        <f t="shared" si="0"/>
        <v>551</v>
      </c>
    </row>
    <row r="16" spans="1:17" x14ac:dyDescent="0.15">
      <c r="A16" s="12" t="s">
        <v>75</v>
      </c>
      <c r="B16" s="12" t="s">
        <v>60</v>
      </c>
      <c r="C16" s="12">
        <v>1</v>
      </c>
      <c r="D16" s="12">
        <v>0</v>
      </c>
      <c r="E16" s="12">
        <v>398</v>
      </c>
      <c r="F16" s="12">
        <v>0</v>
      </c>
      <c r="G16" s="12">
        <v>1</v>
      </c>
      <c r="H16" s="12">
        <v>0</v>
      </c>
      <c r="I16" s="12">
        <v>3</v>
      </c>
      <c r="J16" s="12">
        <v>0</v>
      </c>
      <c r="K16" s="12">
        <v>0</v>
      </c>
      <c r="L16" s="12">
        <v>0</v>
      </c>
      <c r="M16" s="12">
        <v>2</v>
      </c>
      <c r="N16" s="12">
        <v>0</v>
      </c>
      <c r="O16" s="12">
        <v>0</v>
      </c>
      <c r="P16" s="12">
        <v>0</v>
      </c>
      <c r="Q16" s="12">
        <f t="shared" si="0"/>
        <v>405</v>
      </c>
    </row>
    <row r="17" spans="1:17" x14ac:dyDescent="0.15">
      <c r="A17" s="12" t="s">
        <v>75</v>
      </c>
      <c r="B17" s="12" t="s">
        <v>61</v>
      </c>
      <c r="C17" s="12">
        <v>0</v>
      </c>
      <c r="D17" s="12">
        <v>1</v>
      </c>
      <c r="E17" s="12">
        <v>777</v>
      </c>
      <c r="F17" s="12">
        <v>0</v>
      </c>
      <c r="G17" s="12">
        <v>0</v>
      </c>
      <c r="H17" s="12">
        <v>0</v>
      </c>
      <c r="I17" s="12">
        <v>2</v>
      </c>
      <c r="J17" s="12">
        <v>0</v>
      </c>
      <c r="K17" s="12">
        <v>0</v>
      </c>
      <c r="L17" s="12">
        <v>0</v>
      </c>
      <c r="M17" s="12">
        <v>12</v>
      </c>
      <c r="N17" s="12">
        <v>0</v>
      </c>
      <c r="O17" s="12">
        <v>0</v>
      </c>
      <c r="P17" s="12">
        <v>1</v>
      </c>
      <c r="Q17" s="12">
        <f t="shared" si="0"/>
        <v>793</v>
      </c>
    </row>
    <row r="18" spans="1:17" x14ac:dyDescent="0.15">
      <c r="A18" s="12" t="s">
        <v>75</v>
      </c>
      <c r="B18" s="12" t="s">
        <v>62</v>
      </c>
      <c r="C18" s="12">
        <v>0</v>
      </c>
      <c r="D18" s="12">
        <v>0</v>
      </c>
      <c r="E18" s="12">
        <v>1160</v>
      </c>
      <c r="F18" s="12">
        <v>0</v>
      </c>
      <c r="G18" s="12">
        <v>0</v>
      </c>
      <c r="H18" s="12">
        <v>0</v>
      </c>
      <c r="I18" s="12">
        <v>4</v>
      </c>
      <c r="J18" s="12">
        <v>0</v>
      </c>
      <c r="K18" s="12">
        <v>0</v>
      </c>
      <c r="L18" s="12">
        <v>0</v>
      </c>
      <c r="M18" s="12">
        <v>43</v>
      </c>
      <c r="N18" s="12">
        <v>0</v>
      </c>
      <c r="O18" s="12">
        <v>0</v>
      </c>
      <c r="P18" s="12">
        <v>0</v>
      </c>
      <c r="Q18" s="12">
        <f t="shared" si="0"/>
        <v>1207</v>
      </c>
    </row>
    <row r="19" spans="1:17" x14ac:dyDescent="0.15">
      <c r="A19" s="12" t="s">
        <v>75</v>
      </c>
      <c r="B19" s="12" t="s">
        <v>63</v>
      </c>
      <c r="C19" s="12">
        <v>0</v>
      </c>
      <c r="D19" s="12">
        <v>0</v>
      </c>
      <c r="E19" s="12">
        <v>707</v>
      </c>
      <c r="F19" s="12">
        <v>0</v>
      </c>
      <c r="G19" s="12">
        <v>0</v>
      </c>
      <c r="H19" s="12">
        <v>0</v>
      </c>
      <c r="I19" s="12">
        <v>2</v>
      </c>
      <c r="J19" s="12">
        <v>0</v>
      </c>
      <c r="K19" s="12">
        <v>0</v>
      </c>
      <c r="L19" s="12">
        <v>0</v>
      </c>
      <c r="M19" s="12">
        <v>31</v>
      </c>
      <c r="N19" s="12">
        <v>0</v>
      </c>
      <c r="O19" s="12">
        <v>0</v>
      </c>
      <c r="P19" s="12">
        <v>0</v>
      </c>
      <c r="Q19" s="12">
        <f t="shared" si="0"/>
        <v>740</v>
      </c>
    </row>
    <row r="20" spans="1:17" x14ac:dyDescent="0.15">
      <c r="A20" s="12" t="s">
        <v>77</v>
      </c>
      <c r="B20" s="12" t="s">
        <v>8</v>
      </c>
      <c r="C20" s="12">
        <v>0</v>
      </c>
      <c r="D20" s="12">
        <v>0</v>
      </c>
      <c r="E20" s="12">
        <v>438</v>
      </c>
      <c r="F20" s="12">
        <v>0</v>
      </c>
      <c r="G20" s="12">
        <v>0</v>
      </c>
      <c r="H20" s="12">
        <v>0</v>
      </c>
      <c r="I20" s="12">
        <v>3</v>
      </c>
      <c r="J20" s="12">
        <v>0</v>
      </c>
      <c r="K20" s="12">
        <v>0</v>
      </c>
      <c r="L20" s="12">
        <v>0</v>
      </c>
      <c r="M20" s="12">
        <v>23</v>
      </c>
      <c r="N20" s="12">
        <v>0</v>
      </c>
      <c r="O20" s="12">
        <v>0</v>
      </c>
      <c r="P20" s="12">
        <v>0</v>
      </c>
      <c r="Q20" s="12">
        <f t="shared" si="0"/>
        <v>464</v>
      </c>
    </row>
    <row r="21" spans="1:17" x14ac:dyDescent="0.15">
      <c r="A21" s="12" t="s">
        <v>77</v>
      </c>
      <c r="B21" s="12" t="s">
        <v>9</v>
      </c>
      <c r="C21" s="12">
        <v>0</v>
      </c>
      <c r="D21" s="12">
        <v>0</v>
      </c>
      <c r="E21" s="12">
        <v>270</v>
      </c>
      <c r="F21" s="12">
        <v>0</v>
      </c>
      <c r="G21" s="12">
        <v>0</v>
      </c>
      <c r="H21" s="12">
        <v>0</v>
      </c>
      <c r="I21" s="12">
        <v>1</v>
      </c>
      <c r="J21" s="12">
        <v>0</v>
      </c>
      <c r="K21" s="12">
        <v>0</v>
      </c>
      <c r="L21" s="12">
        <v>0</v>
      </c>
      <c r="M21" s="12">
        <v>16</v>
      </c>
      <c r="N21" s="12">
        <v>0</v>
      </c>
      <c r="O21" s="12">
        <v>0</v>
      </c>
      <c r="P21" s="12">
        <v>0</v>
      </c>
      <c r="Q21" s="12">
        <f t="shared" si="0"/>
        <v>287</v>
      </c>
    </row>
    <row r="22" spans="1:17" x14ac:dyDescent="0.15">
      <c r="A22" s="12" t="s">
        <v>77</v>
      </c>
      <c r="B22" s="12" t="s">
        <v>10</v>
      </c>
      <c r="C22" s="12">
        <v>0</v>
      </c>
      <c r="D22" s="12">
        <v>0</v>
      </c>
      <c r="E22" s="12">
        <v>213</v>
      </c>
      <c r="F22" s="12">
        <v>0</v>
      </c>
      <c r="G22" s="12">
        <v>0</v>
      </c>
      <c r="H22" s="12">
        <v>0</v>
      </c>
      <c r="I22" s="12">
        <v>5</v>
      </c>
      <c r="J22" s="12">
        <v>0</v>
      </c>
      <c r="K22" s="12">
        <v>0</v>
      </c>
      <c r="L22" s="12">
        <v>0</v>
      </c>
      <c r="M22" s="12">
        <v>3</v>
      </c>
      <c r="N22" s="12">
        <v>0</v>
      </c>
      <c r="O22" s="12">
        <v>0</v>
      </c>
      <c r="P22" s="12">
        <v>0</v>
      </c>
      <c r="Q22" s="12">
        <f t="shared" si="0"/>
        <v>221</v>
      </c>
    </row>
    <row r="23" spans="1:17" x14ac:dyDescent="0.15">
      <c r="A23" s="12" t="s">
        <v>77</v>
      </c>
      <c r="B23" s="12" t="s">
        <v>11</v>
      </c>
      <c r="C23" s="12">
        <v>0</v>
      </c>
      <c r="D23" s="12">
        <v>1</v>
      </c>
      <c r="E23" s="12">
        <v>302</v>
      </c>
      <c r="F23" s="12">
        <v>0</v>
      </c>
      <c r="G23" s="12">
        <v>0</v>
      </c>
      <c r="H23" s="12">
        <v>1</v>
      </c>
      <c r="I23" s="12">
        <v>0</v>
      </c>
      <c r="J23" s="12">
        <v>0</v>
      </c>
      <c r="K23" s="12">
        <v>0</v>
      </c>
      <c r="L23" s="12">
        <v>0</v>
      </c>
      <c r="M23" s="12">
        <v>11</v>
      </c>
      <c r="N23" s="12">
        <v>0</v>
      </c>
      <c r="O23" s="12">
        <v>0</v>
      </c>
      <c r="P23" s="12">
        <v>0</v>
      </c>
      <c r="Q23" s="12">
        <f t="shared" si="0"/>
        <v>315</v>
      </c>
    </row>
    <row r="24" spans="1:17" x14ac:dyDescent="0.15">
      <c r="A24" s="12" t="s">
        <v>78</v>
      </c>
      <c r="B24" s="12" t="s">
        <v>12</v>
      </c>
      <c r="C24" s="12">
        <v>0</v>
      </c>
      <c r="D24" s="12">
        <v>0</v>
      </c>
      <c r="E24" s="12">
        <v>334</v>
      </c>
      <c r="F24" s="12">
        <v>0</v>
      </c>
      <c r="G24" s="12">
        <v>0</v>
      </c>
      <c r="H24" s="12">
        <v>1</v>
      </c>
      <c r="I24" s="12">
        <v>2</v>
      </c>
      <c r="J24" s="12">
        <v>0</v>
      </c>
      <c r="K24" s="12">
        <v>0</v>
      </c>
      <c r="L24" s="12">
        <v>0</v>
      </c>
      <c r="M24" s="12">
        <v>7</v>
      </c>
      <c r="N24" s="12">
        <v>0</v>
      </c>
      <c r="O24" s="12">
        <v>0</v>
      </c>
      <c r="P24" s="12">
        <v>0</v>
      </c>
      <c r="Q24" s="12">
        <f t="shared" si="0"/>
        <v>344</v>
      </c>
    </row>
    <row r="25" spans="1:17" x14ac:dyDescent="0.15">
      <c r="A25" s="12" t="s">
        <v>78</v>
      </c>
      <c r="B25" s="12" t="s">
        <v>13</v>
      </c>
      <c r="C25" s="12">
        <v>0</v>
      </c>
      <c r="D25" s="12">
        <v>0</v>
      </c>
      <c r="E25" s="12">
        <v>253</v>
      </c>
      <c r="F25" s="12">
        <v>0</v>
      </c>
      <c r="G25" s="12">
        <v>0</v>
      </c>
      <c r="H25" s="12">
        <v>1</v>
      </c>
      <c r="I25" s="12">
        <v>0</v>
      </c>
      <c r="J25" s="12">
        <v>0</v>
      </c>
      <c r="K25" s="12">
        <v>0</v>
      </c>
      <c r="L25" s="12">
        <v>0</v>
      </c>
      <c r="M25" s="12">
        <v>11</v>
      </c>
      <c r="N25" s="12">
        <v>0</v>
      </c>
      <c r="O25" s="12">
        <v>0</v>
      </c>
      <c r="P25" s="12">
        <v>0</v>
      </c>
      <c r="Q25" s="12">
        <f t="shared" si="0"/>
        <v>265</v>
      </c>
    </row>
    <row r="26" spans="1:17" x14ac:dyDescent="0.15">
      <c r="A26" s="12" t="s">
        <v>78</v>
      </c>
      <c r="B26" s="12" t="s">
        <v>14</v>
      </c>
      <c r="C26" s="12">
        <v>0</v>
      </c>
      <c r="D26" s="12">
        <v>0</v>
      </c>
      <c r="E26" s="12">
        <v>330</v>
      </c>
      <c r="F26" s="12">
        <v>0</v>
      </c>
      <c r="G26" s="12">
        <v>0</v>
      </c>
      <c r="H26" s="12">
        <v>1</v>
      </c>
      <c r="I26" s="12">
        <v>1</v>
      </c>
      <c r="J26" s="12">
        <v>0</v>
      </c>
      <c r="K26" s="12">
        <v>0</v>
      </c>
      <c r="L26" s="12">
        <v>0</v>
      </c>
      <c r="M26" s="12">
        <v>16</v>
      </c>
      <c r="N26" s="12">
        <v>0</v>
      </c>
      <c r="O26" s="12">
        <v>0</v>
      </c>
      <c r="P26" s="12">
        <v>0</v>
      </c>
      <c r="Q26" s="12">
        <f t="shared" si="0"/>
        <v>348</v>
      </c>
    </row>
    <row r="27" spans="1:17" x14ac:dyDescent="0.15">
      <c r="A27" s="12" t="s">
        <v>78</v>
      </c>
      <c r="B27" s="12" t="s">
        <v>15</v>
      </c>
      <c r="C27" s="12">
        <v>0</v>
      </c>
      <c r="D27" s="12">
        <v>0</v>
      </c>
      <c r="E27" s="12">
        <v>475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22</v>
      </c>
      <c r="N27" s="12">
        <v>0</v>
      </c>
      <c r="O27" s="12">
        <v>0</v>
      </c>
      <c r="P27" s="12">
        <v>0</v>
      </c>
      <c r="Q27" s="12">
        <f t="shared" si="0"/>
        <v>497</v>
      </c>
    </row>
    <row r="28" spans="1:17" x14ac:dyDescent="0.15">
      <c r="A28" s="12" t="s">
        <v>79</v>
      </c>
      <c r="B28" s="12" t="s">
        <v>16</v>
      </c>
      <c r="C28" s="12">
        <v>0</v>
      </c>
      <c r="D28" s="12">
        <v>0</v>
      </c>
      <c r="E28" s="12">
        <v>249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10</v>
      </c>
      <c r="N28" s="12">
        <v>0</v>
      </c>
      <c r="O28" s="12">
        <v>0</v>
      </c>
      <c r="P28" s="12">
        <v>0</v>
      </c>
      <c r="Q28" s="12">
        <f t="shared" si="0"/>
        <v>259</v>
      </c>
    </row>
    <row r="29" spans="1:17" x14ac:dyDescent="0.15">
      <c r="A29" s="12" t="s">
        <v>79</v>
      </c>
      <c r="B29" s="12" t="s">
        <v>17</v>
      </c>
      <c r="C29" s="12">
        <v>0</v>
      </c>
      <c r="D29" s="12">
        <v>0</v>
      </c>
      <c r="E29" s="12">
        <v>585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27</v>
      </c>
      <c r="N29" s="12">
        <v>0</v>
      </c>
      <c r="O29" s="12">
        <v>0</v>
      </c>
      <c r="P29" s="12">
        <v>0</v>
      </c>
      <c r="Q29" s="12">
        <f t="shared" si="0"/>
        <v>612</v>
      </c>
    </row>
    <row r="30" spans="1:17" x14ac:dyDescent="0.15">
      <c r="A30" s="12" t="s">
        <v>79</v>
      </c>
      <c r="B30" s="12" t="s">
        <v>18</v>
      </c>
      <c r="C30" s="12">
        <v>0</v>
      </c>
      <c r="D30" s="12">
        <v>2</v>
      </c>
      <c r="E30" s="12">
        <v>518</v>
      </c>
      <c r="F30" s="12">
        <v>0</v>
      </c>
      <c r="G30" s="12">
        <v>0</v>
      </c>
      <c r="H30" s="12">
        <v>0</v>
      </c>
      <c r="I30" s="12">
        <v>1</v>
      </c>
      <c r="J30" s="12">
        <v>0</v>
      </c>
      <c r="K30" s="12">
        <v>0</v>
      </c>
      <c r="L30" s="12">
        <v>0</v>
      </c>
      <c r="M30" s="12">
        <v>13</v>
      </c>
      <c r="N30" s="12">
        <v>0</v>
      </c>
      <c r="O30" s="12">
        <v>0</v>
      </c>
      <c r="P30" s="12">
        <v>0</v>
      </c>
      <c r="Q30" s="12">
        <f t="shared" si="0"/>
        <v>534</v>
      </c>
    </row>
    <row r="31" spans="1:17" x14ac:dyDescent="0.15">
      <c r="A31" s="12" t="s">
        <v>79</v>
      </c>
      <c r="B31" s="12" t="s">
        <v>19</v>
      </c>
      <c r="C31" s="12">
        <v>0</v>
      </c>
      <c r="D31" s="12">
        <v>0</v>
      </c>
      <c r="E31" s="12">
        <v>351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4</v>
      </c>
      <c r="N31" s="12">
        <v>0</v>
      </c>
      <c r="O31" s="12">
        <v>0</v>
      </c>
      <c r="P31" s="12">
        <v>0</v>
      </c>
      <c r="Q31" s="12">
        <f t="shared" si="0"/>
        <v>355</v>
      </c>
    </row>
    <row r="32" spans="1:17" x14ac:dyDescent="0.15">
      <c r="A32" s="12" t="s">
        <v>79</v>
      </c>
      <c r="B32" s="12" t="s">
        <v>64</v>
      </c>
      <c r="C32" s="12">
        <v>0</v>
      </c>
      <c r="D32" s="12">
        <v>0</v>
      </c>
      <c r="E32" s="12">
        <v>380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2</v>
      </c>
      <c r="N32" s="12">
        <v>0</v>
      </c>
      <c r="O32" s="12">
        <v>0</v>
      </c>
      <c r="P32" s="12">
        <v>0</v>
      </c>
      <c r="Q32" s="12">
        <f t="shared" si="0"/>
        <v>382</v>
      </c>
    </row>
    <row r="33" spans="1:17" x14ac:dyDescent="0.15">
      <c r="A33" s="12" t="s">
        <v>80</v>
      </c>
      <c r="B33" s="12" t="s">
        <v>20</v>
      </c>
      <c r="C33" s="12">
        <v>0</v>
      </c>
      <c r="D33" s="12">
        <v>0</v>
      </c>
      <c r="E33" s="12">
        <v>418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f t="shared" si="0"/>
        <v>418</v>
      </c>
    </row>
    <row r="34" spans="1:17" x14ac:dyDescent="0.15">
      <c r="A34" s="12" t="s">
        <v>80</v>
      </c>
      <c r="B34" s="12" t="s">
        <v>21</v>
      </c>
      <c r="C34" s="12">
        <v>0</v>
      </c>
      <c r="D34" s="12">
        <v>0</v>
      </c>
      <c r="E34" s="12">
        <v>7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f t="shared" si="0"/>
        <v>7</v>
      </c>
    </row>
    <row r="35" spans="1:17" x14ac:dyDescent="0.15">
      <c r="A35" s="12" t="s">
        <v>80</v>
      </c>
      <c r="B35" s="12" t="s">
        <v>22</v>
      </c>
      <c r="C35" s="12">
        <v>0</v>
      </c>
      <c r="D35" s="12">
        <v>0</v>
      </c>
      <c r="E35" s="12">
        <v>5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f t="shared" si="0"/>
        <v>5</v>
      </c>
    </row>
    <row r="36" spans="1:17" x14ac:dyDescent="0.15">
      <c r="A36" s="52" t="s">
        <v>81</v>
      </c>
      <c r="B36" s="53"/>
      <c r="C36" s="14">
        <f>SUM(C5:C35)</f>
        <v>2</v>
      </c>
      <c r="D36" s="14">
        <f t="shared" ref="D36:Q36" si="1">SUM(D5:D35)</f>
        <v>5</v>
      </c>
      <c r="E36" s="14">
        <f t="shared" si="1"/>
        <v>9249</v>
      </c>
      <c r="F36" s="14">
        <f t="shared" si="1"/>
        <v>0</v>
      </c>
      <c r="G36" s="14">
        <f t="shared" si="1"/>
        <v>7</v>
      </c>
      <c r="H36" s="14">
        <f t="shared" si="1"/>
        <v>4</v>
      </c>
      <c r="I36" s="14">
        <f t="shared" si="1"/>
        <v>25</v>
      </c>
      <c r="J36" s="14">
        <f t="shared" si="1"/>
        <v>0</v>
      </c>
      <c r="K36" s="14">
        <f t="shared" si="1"/>
        <v>0</v>
      </c>
      <c r="L36" s="14">
        <f t="shared" si="1"/>
        <v>0</v>
      </c>
      <c r="M36" s="14">
        <f t="shared" si="1"/>
        <v>329</v>
      </c>
      <c r="N36" s="14">
        <f t="shared" si="1"/>
        <v>0</v>
      </c>
      <c r="O36" s="14">
        <f t="shared" si="1"/>
        <v>6</v>
      </c>
      <c r="P36" s="14">
        <f t="shared" si="1"/>
        <v>4</v>
      </c>
      <c r="Q36" s="14">
        <f t="shared" si="1"/>
        <v>9631</v>
      </c>
    </row>
  </sheetData>
  <mergeCells count="4">
    <mergeCell ref="A1:Q1"/>
    <mergeCell ref="A36:B36"/>
    <mergeCell ref="A3:A4"/>
    <mergeCell ref="B3:B4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zoomScale="85" zoomScaleNormal="85" workbookViewId="0">
      <selection sqref="A1:P1"/>
    </sheetView>
  </sheetViews>
  <sheetFormatPr defaultRowHeight="13.5" x14ac:dyDescent="0.15"/>
  <sheetData>
    <row r="1" spans="1:16" ht="18.75" x14ac:dyDescent="0.25">
      <c r="A1" s="51" t="s">
        <v>181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15">
      <c r="P2" s="16" t="s">
        <v>65</v>
      </c>
    </row>
    <row r="3" spans="1:16" x14ac:dyDescent="0.15">
      <c r="A3" s="49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36</v>
      </c>
      <c r="N3" s="7" t="s">
        <v>37</v>
      </c>
      <c r="O3" s="7" t="s">
        <v>38</v>
      </c>
      <c r="P3" s="7" t="s">
        <v>67</v>
      </c>
    </row>
    <row r="4" spans="1:16" ht="40.5" x14ac:dyDescent="0.15">
      <c r="A4" s="50"/>
      <c r="B4" s="7" t="s">
        <v>146</v>
      </c>
      <c r="C4" s="7" t="s">
        <v>39</v>
      </c>
      <c r="D4" s="7" t="s">
        <v>40</v>
      </c>
      <c r="E4" s="7" t="s">
        <v>147</v>
      </c>
      <c r="F4" s="7" t="s">
        <v>41</v>
      </c>
      <c r="G4" s="7" t="s">
        <v>148</v>
      </c>
      <c r="H4" s="7" t="s">
        <v>149</v>
      </c>
      <c r="I4" s="7" t="s">
        <v>151</v>
      </c>
      <c r="J4" s="7" t="s">
        <v>42</v>
      </c>
      <c r="K4" s="7" t="s">
        <v>43</v>
      </c>
      <c r="L4" s="7" t="s">
        <v>44</v>
      </c>
      <c r="M4" s="7" t="s">
        <v>45</v>
      </c>
      <c r="N4" s="7" t="s">
        <v>46</v>
      </c>
      <c r="O4" s="7" t="s">
        <v>153</v>
      </c>
      <c r="P4" s="7" t="s">
        <v>67</v>
      </c>
    </row>
    <row r="5" spans="1:16" x14ac:dyDescent="0.15">
      <c r="A5" s="12" t="s">
        <v>3</v>
      </c>
      <c r="B5" s="12">
        <v>0</v>
      </c>
      <c r="C5" s="12">
        <v>4</v>
      </c>
      <c r="D5" s="12">
        <v>39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f>SUM(B5:O5)</f>
        <v>43</v>
      </c>
    </row>
    <row r="6" spans="1:16" x14ac:dyDescent="0.15">
      <c r="A6" s="12" t="s">
        <v>70</v>
      </c>
      <c r="B6" s="12">
        <v>0</v>
      </c>
      <c r="C6" s="12">
        <v>4</v>
      </c>
      <c r="D6" s="12">
        <v>41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f t="shared" ref="P6:P35" si="0">SUM(B6:O6)</f>
        <v>45</v>
      </c>
    </row>
    <row r="7" spans="1:16" x14ac:dyDescent="0.15">
      <c r="A7" s="12" t="s">
        <v>5</v>
      </c>
      <c r="B7" s="12">
        <v>0</v>
      </c>
      <c r="C7" s="12">
        <v>3</v>
      </c>
      <c r="D7" s="12">
        <v>72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15</v>
      </c>
      <c r="M7" s="12">
        <v>0</v>
      </c>
      <c r="N7" s="12">
        <v>0</v>
      </c>
      <c r="O7" s="12">
        <v>0</v>
      </c>
      <c r="P7" s="12">
        <f t="shared" si="0"/>
        <v>90</v>
      </c>
    </row>
    <row r="8" spans="1:16" x14ac:dyDescent="0.15">
      <c r="A8" s="12" t="s">
        <v>6</v>
      </c>
      <c r="B8" s="12">
        <v>1</v>
      </c>
      <c r="C8" s="12">
        <v>0</v>
      </c>
      <c r="D8" s="12">
        <v>11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2</v>
      </c>
      <c r="M8" s="12">
        <v>0</v>
      </c>
      <c r="N8" s="12">
        <v>0</v>
      </c>
      <c r="O8" s="12">
        <v>5</v>
      </c>
      <c r="P8" s="12">
        <f t="shared" si="0"/>
        <v>20</v>
      </c>
    </row>
    <row r="9" spans="1:16" x14ac:dyDescent="0.15">
      <c r="A9" s="12" t="s">
        <v>7</v>
      </c>
      <c r="B9" s="12">
        <v>0</v>
      </c>
      <c r="C9" s="12">
        <v>3</v>
      </c>
      <c r="D9" s="12">
        <v>102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26</v>
      </c>
      <c r="M9" s="12">
        <v>0</v>
      </c>
      <c r="N9" s="12">
        <v>0</v>
      </c>
      <c r="O9" s="12">
        <v>4</v>
      </c>
      <c r="P9" s="12">
        <f t="shared" si="0"/>
        <v>135</v>
      </c>
    </row>
    <row r="10" spans="1:16" x14ac:dyDescent="0.15">
      <c r="A10" s="12" t="s">
        <v>58</v>
      </c>
      <c r="B10" s="12">
        <v>0</v>
      </c>
      <c r="C10" s="12">
        <v>0</v>
      </c>
      <c r="D10" s="12">
        <v>118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2</v>
      </c>
      <c r="M10" s="12">
        <v>0</v>
      </c>
      <c r="N10" s="12">
        <v>0</v>
      </c>
      <c r="O10" s="12">
        <v>1</v>
      </c>
      <c r="P10" s="12">
        <f t="shared" si="0"/>
        <v>121</v>
      </c>
    </row>
    <row r="11" spans="1:16" x14ac:dyDescent="0.15">
      <c r="A11" s="12" t="s">
        <v>72</v>
      </c>
      <c r="B11" s="12">
        <v>0</v>
      </c>
      <c r="C11" s="12">
        <v>0</v>
      </c>
      <c r="D11" s="12">
        <v>204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13</v>
      </c>
      <c r="M11" s="12">
        <v>0</v>
      </c>
      <c r="N11" s="12">
        <v>0</v>
      </c>
      <c r="O11" s="12">
        <v>4</v>
      </c>
      <c r="P11" s="12">
        <f t="shared" si="0"/>
        <v>221</v>
      </c>
    </row>
    <row r="12" spans="1:16" x14ac:dyDescent="0.15">
      <c r="A12" s="12" t="s">
        <v>73</v>
      </c>
      <c r="B12" s="12">
        <v>0</v>
      </c>
      <c r="C12" s="12">
        <v>0</v>
      </c>
      <c r="D12" s="12">
        <v>274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3</v>
      </c>
      <c r="M12" s="12">
        <v>0</v>
      </c>
      <c r="N12" s="12">
        <v>0</v>
      </c>
      <c r="O12" s="12">
        <v>0</v>
      </c>
      <c r="P12" s="12">
        <f t="shared" si="0"/>
        <v>277</v>
      </c>
    </row>
    <row r="13" spans="1:16" x14ac:dyDescent="0.15">
      <c r="A13" s="12" t="s">
        <v>74</v>
      </c>
      <c r="B13" s="12">
        <v>0</v>
      </c>
      <c r="C13" s="12">
        <v>0</v>
      </c>
      <c r="D13" s="12">
        <v>640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3</v>
      </c>
      <c r="M13" s="12">
        <v>0</v>
      </c>
      <c r="N13" s="12">
        <v>0</v>
      </c>
      <c r="O13" s="12">
        <v>0</v>
      </c>
      <c r="P13" s="12">
        <f t="shared" si="0"/>
        <v>643</v>
      </c>
    </row>
    <row r="14" spans="1:16" x14ac:dyDescent="0.15">
      <c r="A14" s="12" t="s">
        <v>59</v>
      </c>
      <c r="B14" s="12">
        <v>0</v>
      </c>
      <c r="C14" s="12">
        <v>0</v>
      </c>
      <c r="D14" s="12">
        <v>715</v>
      </c>
      <c r="E14" s="12">
        <v>0</v>
      </c>
      <c r="F14" s="12">
        <v>0</v>
      </c>
      <c r="G14" s="12">
        <v>0</v>
      </c>
      <c r="H14" s="12">
        <v>0</v>
      </c>
      <c r="I14" s="12">
        <v>11</v>
      </c>
      <c r="J14" s="12">
        <v>0</v>
      </c>
      <c r="K14" s="12">
        <v>0</v>
      </c>
      <c r="L14" s="12">
        <v>37</v>
      </c>
      <c r="M14" s="12">
        <v>0</v>
      </c>
      <c r="N14" s="12">
        <v>1</v>
      </c>
      <c r="O14" s="12">
        <v>2</v>
      </c>
      <c r="P14" s="12">
        <f t="shared" si="0"/>
        <v>766</v>
      </c>
    </row>
    <row r="15" spans="1:16" x14ac:dyDescent="0.15">
      <c r="A15" s="12" t="s">
        <v>76</v>
      </c>
      <c r="B15" s="12">
        <v>1</v>
      </c>
      <c r="C15" s="12">
        <v>0</v>
      </c>
      <c r="D15" s="12">
        <v>776</v>
      </c>
      <c r="E15" s="12">
        <v>0</v>
      </c>
      <c r="F15" s="12">
        <v>0</v>
      </c>
      <c r="G15" s="12">
        <v>0</v>
      </c>
      <c r="H15" s="12">
        <v>0</v>
      </c>
      <c r="I15" s="12">
        <v>8</v>
      </c>
      <c r="J15" s="12">
        <v>7</v>
      </c>
      <c r="K15" s="12">
        <v>0</v>
      </c>
      <c r="L15" s="12">
        <v>9</v>
      </c>
      <c r="M15" s="12">
        <v>0</v>
      </c>
      <c r="N15" s="12">
        <v>4</v>
      </c>
      <c r="O15" s="12">
        <v>24</v>
      </c>
      <c r="P15" s="12">
        <f t="shared" si="0"/>
        <v>829</v>
      </c>
    </row>
    <row r="16" spans="1:16" x14ac:dyDescent="0.15">
      <c r="A16" s="12" t="s">
        <v>60</v>
      </c>
      <c r="B16" s="12">
        <v>0</v>
      </c>
      <c r="C16" s="12">
        <v>0</v>
      </c>
      <c r="D16" s="12">
        <v>343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>
        <v>0</v>
      </c>
      <c r="K16" s="12">
        <v>0</v>
      </c>
      <c r="L16" s="12">
        <v>4</v>
      </c>
      <c r="M16" s="12">
        <v>0</v>
      </c>
      <c r="N16" s="12">
        <v>0</v>
      </c>
      <c r="O16" s="12">
        <v>4</v>
      </c>
      <c r="P16" s="12">
        <f t="shared" si="0"/>
        <v>352</v>
      </c>
    </row>
    <row r="17" spans="1:16" x14ac:dyDescent="0.15">
      <c r="A17" s="12" t="s">
        <v>61</v>
      </c>
      <c r="B17" s="12">
        <v>0</v>
      </c>
      <c r="C17" s="12">
        <v>0</v>
      </c>
      <c r="D17" s="12">
        <v>763</v>
      </c>
      <c r="E17" s="12">
        <v>0</v>
      </c>
      <c r="F17" s="12">
        <v>0</v>
      </c>
      <c r="G17" s="12">
        <v>0</v>
      </c>
      <c r="H17" s="12">
        <v>2</v>
      </c>
      <c r="I17" s="12">
        <v>2</v>
      </c>
      <c r="J17" s="12">
        <v>2</v>
      </c>
      <c r="K17" s="12">
        <v>0</v>
      </c>
      <c r="L17" s="12">
        <v>9</v>
      </c>
      <c r="M17" s="12">
        <v>0</v>
      </c>
      <c r="N17" s="12">
        <v>0</v>
      </c>
      <c r="O17" s="12">
        <v>2</v>
      </c>
      <c r="P17" s="12">
        <f t="shared" si="0"/>
        <v>780</v>
      </c>
    </row>
    <row r="18" spans="1:16" x14ac:dyDescent="0.15">
      <c r="A18" s="12" t="s">
        <v>62</v>
      </c>
      <c r="B18" s="12">
        <v>1</v>
      </c>
      <c r="C18" s="12">
        <v>1</v>
      </c>
      <c r="D18" s="12">
        <v>672</v>
      </c>
      <c r="E18" s="12">
        <v>0</v>
      </c>
      <c r="F18" s="12">
        <v>0</v>
      </c>
      <c r="G18" s="12">
        <v>1</v>
      </c>
      <c r="H18" s="12">
        <v>1</v>
      </c>
      <c r="I18" s="12">
        <v>2</v>
      </c>
      <c r="J18" s="12">
        <v>0</v>
      </c>
      <c r="K18" s="12">
        <v>0</v>
      </c>
      <c r="L18" s="12">
        <v>26</v>
      </c>
      <c r="M18" s="12">
        <v>0</v>
      </c>
      <c r="N18" s="12">
        <v>1</v>
      </c>
      <c r="O18" s="12">
        <v>6</v>
      </c>
      <c r="P18" s="12">
        <f t="shared" si="0"/>
        <v>711</v>
      </c>
    </row>
    <row r="19" spans="1:16" x14ac:dyDescent="0.15">
      <c r="A19" s="12" t="s">
        <v>63</v>
      </c>
      <c r="B19" s="12">
        <v>0</v>
      </c>
      <c r="C19" s="12">
        <v>0</v>
      </c>
      <c r="D19" s="12">
        <v>703</v>
      </c>
      <c r="E19" s="12">
        <v>0</v>
      </c>
      <c r="F19" s="12">
        <v>0</v>
      </c>
      <c r="G19" s="12">
        <v>0</v>
      </c>
      <c r="H19" s="12">
        <v>0</v>
      </c>
      <c r="I19" s="12">
        <v>4</v>
      </c>
      <c r="J19" s="12">
        <v>0</v>
      </c>
      <c r="K19" s="12">
        <v>0</v>
      </c>
      <c r="L19" s="12">
        <v>29</v>
      </c>
      <c r="M19" s="12">
        <v>0</v>
      </c>
      <c r="N19" s="12">
        <v>0</v>
      </c>
      <c r="O19" s="12">
        <v>1</v>
      </c>
      <c r="P19" s="12">
        <f t="shared" si="0"/>
        <v>737</v>
      </c>
    </row>
    <row r="20" spans="1:16" x14ac:dyDescent="0.15">
      <c r="A20" s="12" t="s">
        <v>8</v>
      </c>
      <c r="B20" s="12">
        <v>0</v>
      </c>
      <c r="C20" s="12">
        <v>0</v>
      </c>
      <c r="D20" s="12">
        <v>539</v>
      </c>
      <c r="E20" s="12">
        <v>0</v>
      </c>
      <c r="F20" s="12">
        <v>0</v>
      </c>
      <c r="G20" s="12">
        <v>0</v>
      </c>
      <c r="H20" s="12">
        <v>1</v>
      </c>
      <c r="I20" s="12">
        <v>1</v>
      </c>
      <c r="J20" s="12">
        <v>0</v>
      </c>
      <c r="K20" s="12">
        <v>0</v>
      </c>
      <c r="L20" s="12">
        <v>13</v>
      </c>
      <c r="M20" s="12">
        <v>0</v>
      </c>
      <c r="N20" s="12">
        <v>0</v>
      </c>
      <c r="O20" s="12">
        <v>1</v>
      </c>
      <c r="P20" s="12">
        <f t="shared" si="0"/>
        <v>555</v>
      </c>
    </row>
    <row r="21" spans="1:16" x14ac:dyDescent="0.15">
      <c r="A21" s="12" t="s">
        <v>9</v>
      </c>
      <c r="B21" s="12">
        <v>0</v>
      </c>
      <c r="C21" s="12">
        <v>0</v>
      </c>
      <c r="D21" s="12">
        <v>938</v>
      </c>
      <c r="E21" s="12">
        <v>0</v>
      </c>
      <c r="F21" s="12">
        <v>0</v>
      </c>
      <c r="G21" s="12">
        <v>5</v>
      </c>
      <c r="H21" s="12">
        <v>0</v>
      </c>
      <c r="I21" s="12">
        <v>5</v>
      </c>
      <c r="J21" s="12">
        <v>0</v>
      </c>
      <c r="K21" s="12">
        <v>0</v>
      </c>
      <c r="L21" s="12">
        <v>19</v>
      </c>
      <c r="M21" s="12">
        <v>0</v>
      </c>
      <c r="N21" s="12">
        <v>2</v>
      </c>
      <c r="O21" s="12">
        <v>0</v>
      </c>
      <c r="P21" s="12">
        <f t="shared" si="0"/>
        <v>969</v>
      </c>
    </row>
    <row r="22" spans="1:16" x14ac:dyDescent="0.15">
      <c r="A22" s="12" t="s">
        <v>10</v>
      </c>
      <c r="B22" s="12">
        <v>0</v>
      </c>
      <c r="C22" s="12">
        <v>0</v>
      </c>
      <c r="D22" s="12">
        <v>287</v>
      </c>
      <c r="E22" s="12">
        <v>0</v>
      </c>
      <c r="F22" s="12">
        <v>0</v>
      </c>
      <c r="G22" s="12">
        <v>0</v>
      </c>
      <c r="H22" s="12">
        <v>4</v>
      </c>
      <c r="I22" s="12">
        <v>0</v>
      </c>
      <c r="J22" s="12">
        <v>0</v>
      </c>
      <c r="K22" s="12">
        <v>0</v>
      </c>
      <c r="L22" s="12">
        <v>1</v>
      </c>
      <c r="M22" s="12">
        <v>0</v>
      </c>
      <c r="N22" s="12">
        <v>0</v>
      </c>
      <c r="O22" s="12">
        <v>0</v>
      </c>
      <c r="P22" s="12">
        <f t="shared" si="0"/>
        <v>292</v>
      </c>
    </row>
    <row r="23" spans="1:16" x14ac:dyDescent="0.15">
      <c r="A23" s="12" t="s">
        <v>11</v>
      </c>
      <c r="B23" s="12">
        <v>0</v>
      </c>
      <c r="C23" s="12">
        <v>0</v>
      </c>
      <c r="D23" s="12">
        <v>747</v>
      </c>
      <c r="E23" s="12">
        <v>0</v>
      </c>
      <c r="F23" s="12">
        <v>0</v>
      </c>
      <c r="G23" s="12">
        <v>3</v>
      </c>
      <c r="H23" s="12">
        <v>0</v>
      </c>
      <c r="I23" s="12">
        <v>0</v>
      </c>
      <c r="J23" s="12">
        <v>0</v>
      </c>
      <c r="K23" s="12">
        <v>0</v>
      </c>
      <c r="L23" s="12">
        <v>30</v>
      </c>
      <c r="M23" s="12">
        <v>0</v>
      </c>
      <c r="N23" s="12">
        <v>1</v>
      </c>
      <c r="O23" s="12">
        <v>0</v>
      </c>
      <c r="P23" s="12">
        <f t="shared" si="0"/>
        <v>781</v>
      </c>
    </row>
    <row r="24" spans="1:16" x14ac:dyDescent="0.15">
      <c r="A24" s="12" t="s">
        <v>12</v>
      </c>
      <c r="B24" s="12">
        <v>0</v>
      </c>
      <c r="C24" s="12">
        <v>0</v>
      </c>
      <c r="D24" s="12">
        <v>351</v>
      </c>
      <c r="E24" s="12">
        <v>0</v>
      </c>
      <c r="F24" s="12">
        <v>0</v>
      </c>
      <c r="G24" s="12">
        <v>2</v>
      </c>
      <c r="H24" s="12">
        <v>2</v>
      </c>
      <c r="I24" s="12">
        <v>1</v>
      </c>
      <c r="J24" s="12">
        <v>0</v>
      </c>
      <c r="K24" s="12">
        <v>0</v>
      </c>
      <c r="L24" s="12">
        <v>9</v>
      </c>
      <c r="M24" s="12">
        <v>0</v>
      </c>
      <c r="N24" s="12">
        <v>1</v>
      </c>
      <c r="O24" s="12">
        <v>1</v>
      </c>
      <c r="P24" s="12">
        <f t="shared" si="0"/>
        <v>367</v>
      </c>
    </row>
    <row r="25" spans="1:16" x14ac:dyDescent="0.15">
      <c r="A25" s="12" t="s">
        <v>13</v>
      </c>
      <c r="B25" s="12">
        <v>0</v>
      </c>
      <c r="C25" s="12">
        <v>0</v>
      </c>
      <c r="D25" s="12">
        <v>442</v>
      </c>
      <c r="E25" s="12">
        <v>0</v>
      </c>
      <c r="F25" s="12">
        <v>0</v>
      </c>
      <c r="G25" s="12">
        <v>2</v>
      </c>
      <c r="H25" s="12">
        <v>0</v>
      </c>
      <c r="I25" s="12">
        <v>0</v>
      </c>
      <c r="J25" s="12">
        <v>0</v>
      </c>
      <c r="K25" s="12">
        <v>0</v>
      </c>
      <c r="L25" s="12">
        <v>11</v>
      </c>
      <c r="M25" s="12">
        <v>0</v>
      </c>
      <c r="N25" s="12">
        <v>0</v>
      </c>
      <c r="O25" s="12">
        <v>0</v>
      </c>
      <c r="P25" s="12">
        <f t="shared" si="0"/>
        <v>455</v>
      </c>
    </row>
    <row r="26" spans="1:16" x14ac:dyDescent="0.15">
      <c r="A26" s="12" t="s">
        <v>14</v>
      </c>
      <c r="B26" s="12">
        <v>0</v>
      </c>
      <c r="C26" s="12">
        <v>0</v>
      </c>
      <c r="D26" s="12">
        <v>222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6</v>
      </c>
      <c r="M26" s="12">
        <v>0</v>
      </c>
      <c r="N26" s="12">
        <v>0</v>
      </c>
      <c r="O26" s="12">
        <v>0</v>
      </c>
      <c r="P26" s="12">
        <f t="shared" si="0"/>
        <v>228</v>
      </c>
    </row>
    <row r="27" spans="1:16" x14ac:dyDescent="0.15">
      <c r="A27" s="12" t="s">
        <v>15</v>
      </c>
      <c r="B27" s="12">
        <v>0</v>
      </c>
      <c r="C27" s="12">
        <v>0</v>
      </c>
      <c r="D27" s="12">
        <v>514</v>
      </c>
      <c r="E27" s="12">
        <v>0</v>
      </c>
      <c r="F27" s="12">
        <v>0</v>
      </c>
      <c r="G27" s="12">
        <v>0</v>
      </c>
      <c r="H27" s="12">
        <v>1</v>
      </c>
      <c r="I27" s="12">
        <v>0</v>
      </c>
      <c r="J27" s="12">
        <v>0</v>
      </c>
      <c r="K27" s="12">
        <v>0</v>
      </c>
      <c r="L27" s="12">
        <v>3</v>
      </c>
      <c r="M27" s="12">
        <v>0</v>
      </c>
      <c r="N27" s="12">
        <v>1</v>
      </c>
      <c r="O27" s="12">
        <v>1</v>
      </c>
      <c r="P27" s="12">
        <f t="shared" si="0"/>
        <v>520</v>
      </c>
    </row>
    <row r="28" spans="1:16" x14ac:dyDescent="0.15">
      <c r="A28" s="12" t="s">
        <v>16</v>
      </c>
      <c r="B28" s="12">
        <v>0</v>
      </c>
      <c r="C28" s="12">
        <v>0</v>
      </c>
      <c r="D28" s="12">
        <v>168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3</v>
      </c>
      <c r="M28" s="12">
        <v>0</v>
      </c>
      <c r="N28" s="12">
        <v>0</v>
      </c>
      <c r="O28" s="12">
        <v>0</v>
      </c>
      <c r="P28" s="12">
        <f t="shared" si="0"/>
        <v>171</v>
      </c>
    </row>
    <row r="29" spans="1:16" x14ac:dyDescent="0.15">
      <c r="A29" s="12" t="s">
        <v>17</v>
      </c>
      <c r="B29" s="12">
        <v>1</v>
      </c>
      <c r="C29" s="12">
        <v>0</v>
      </c>
      <c r="D29" s="12">
        <v>450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5</v>
      </c>
      <c r="M29" s="12">
        <v>0</v>
      </c>
      <c r="N29" s="12">
        <v>1</v>
      </c>
      <c r="O29" s="12">
        <v>1</v>
      </c>
      <c r="P29" s="12">
        <f t="shared" si="0"/>
        <v>458</v>
      </c>
    </row>
    <row r="30" spans="1:16" x14ac:dyDescent="0.15">
      <c r="A30" s="12" t="s">
        <v>18</v>
      </c>
      <c r="B30" s="12">
        <v>0</v>
      </c>
      <c r="C30" s="12">
        <v>0</v>
      </c>
      <c r="D30" s="12">
        <v>366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3</v>
      </c>
      <c r="M30" s="12">
        <v>0</v>
      </c>
      <c r="N30" s="12">
        <v>0</v>
      </c>
      <c r="O30" s="12">
        <v>2</v>
      </c>
      <c r="P30" s="12">
        <f t="shared" si="0"/>
        <v>371</v>
      </c>
    </row>
    <row r="31" spans="1:16" x14ac:dyDescent="0.15">
      <c r="A31" s="12" t="s">
        <v>19</v>
      </c>
      <c r="B31" s="12">
        <v>0</v>
      </c>
      <c r="C31" s="12">
        <v>0</v>
      </c>
      <c r="D31" s="12">
        <v>61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2</v>
      </c>
      <c r="M31" s="12">
        <v>0</v>
      </c>
      <c r="N31" s="12">
        <v>0</v>
      </c>
      <c r="O31" s="12">
        <v>0</v>
      </c>
      <c r="P31" s="12">
        <f t="shared" si="0"/>
        <v>63</v>
      </c>
    </row>
    <row r="32" spans="1:16" x14ac:dyDescent="0.15">
      <c r="A32" s="12" t="s">
        <v>64</v>
      </c>
      <c r="B32" s="12">
        <v>0</v>
      </c>
      <c r="C32" s="12">
        <v>0</v>
      </c>
      <c r="D32" s="12">
        <v>317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2</v>
      </c>
      <c r="O32" s="12">
        <v>2</v>
      </c>
      <c r="P32" s="12">
        <f t="shared" si="0"/>
        <v>321</v>
      </c>
    </row>
    <row r="33" spans="1:16" x14ac:dyDescent="0.15">
      <c r="A33" s="12" t="s">
        <v>20</v>
      </c>
      <c r="B33" s="12">
        <v>0</v>
      </c>
      <c r="C33" s="12">
        <v>0</v>
      </c>
      <c r="D33" s="12">
        <v>74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f t="shared" si="0"/>
        <v>74</v>
      </c>
    </row>
    <row r="34" spans="1:16" x14ac:dyDescent="0.15">
      <c r="A34" s="12" t="s">
        <v>21</v>
      </c>
      <c r="B34" s="12">
        <v>0</v>
      </c>
      <c r="C34" s="12">
        <v>0</v>
      </c>
      <c r="D34" s="12">
        <v>31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f t="shared" si="0"/>
        <v>31</v>
      </c>
    </row>
    <row r="35" spans="1:16" x14ac:dyDescent="0.15">
      <c r="A35" s="12" t="s">
        <v>22</v>
      </c>
      <c r="B35" s="12">
        <v>0</v>
      </c>
      <c r="C35" s="12">
        <v>0</v>
      </c>
      <c r="D35" s="12">
        <v>5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f t="shared" si="0"/>
        <v>5</v>
      </c>
    </row>
    <row r="36" spans="1:16" x14ac:dyDescent="0.15">
      <c r="A36" s="14" t="s">
        <v>182</v>
      </c>
      <c r="B36" s="14">
        <f>SUM(B5:B35)</f>
        <v>4</v>
      </c>
      <c r="C36" s="14">
        <f t="shared" ref="C36:P36" si="1">SUM(C5:C35)</f>
        <v>15</v>
      </c>
      <c r="D36" s="14">
        <f t="shared" si="1"/>
        <v>10985</v>
      </c>
      <c r="E36" s="14">
        <f t="shared" si="1"/>
        <v>0</v>
      </c>
      <c r="F36" s="14">
        <f t="shared" si="1"/>
        <v>1</v>
      </c>
      <c r="G36" s="14">
        <f t="shared" si="1"/>
        <v>14</v>
      </c>
      <c r="H36" s="14">
        <f t="shared" si="1"/>
        <v>11</v>
      </c>
      <c r="I36" s="14">
        <f t="shared" si="1"/>
        <v>34</v>
      </c>
      <c r="J36" s="14">
        <f t="shared" si="1"/>
        <v>9</v>
      </c>
      <c r="K36" s="14">
        <f t="shared" si="1"/>
        <v>0</v>
      </c>
      <c r="L36" s="14">
        <f t="shared" si="1"/>
        <v>283</v>
      </c>
      <c r="M36" s="14">
        <f t="shared" si="1"/>
        <v>0</v>
      </c>
      <c r="N36" s="14">
        <f t="shared" si="1"/>
        <v>14</v>
      </c>
      <c r="O36" s="14">
        <f t="shared" si="1"/>
        <v>61</v>
      </c>
      <c r="P36" s="14">
        <f t="shared" si="1"/>
        <v>11431</v>
      </c>
    </row>
  </sheetData>
  <mergeCells count="2">
    <mergeCell ref="A1:P1"/>
    <mergeCell ref="A3:A4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="85" zoomScaleNormal="85" workbookViewId="0">
      <selection sqref="A1:P1"/>
    </sheetView>
  </sheetViews>
  <sheetFormatPr defaultRowHeight="13.5" x14ac:dyDescent="0.15"/>
  <sheetData>
    <row r="1" spans="1:16" ht="18.75" x14ac:dyDescent="0.25">
      <c r="A1" s="51" t="s">
        <v>183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15">
      <c r="P2" s="16" t="s">
        <v>65</v>
      </c>
    </row>
    <row r="3" spans="1:16" x14ac:dyDescent="0.15">
      <c r="A3" s="49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36</v>
      </c>
      <c r="N3" s="7" t="s">
        <v>37</v>
      </c>
      <c r="O3" s="7" t="s">
        <v>38</v>
      </c>
      <c r="P3" s="7" t="s">
        <v>67</v>
      </c>
    </row>
    <row r="4" spans="1:16" ht="40.5" x14ac:dyDescent="0.15">
      <c r="A4" s="50"/>
      <c r="B4" s="7" t="s">
        <v>146</v>
      </c>
      <c r="C4" s="7" t="s">
        <v>39</v>
      </c>
      <c r="D4" s="7" t="s">
        <v>40</v>
      </c>
      <c r="E4" s="7" t="s">
        <v>147</v>
      </c>
      <c r="F4" s="7" t="s">
        <v>41</v>
      </c>
      <c r="G4" s="7" t="s">
        <v>148</v>
      </c>
      <c r="H4" s="7" t="s">
        <v>149</v>
      </c>
      <c r="I4" s="7" t="s">
        <v>151</v>
      </c>
      <c r="J4" s="7" t="s">
        <v>42</v>
      </c>
      <c r="K4" s="7" t="s">
        <v>43</v>
      </c>
      <c r="L4" s="7" t="s">
        <v>44</v>
      </c>
      <c r="M4" s="7" t="s">
        <v>45</v>
      </c>
      <c r="N4" s="7" t="s">
        <v>46</v>
      </c>
      <c r="O4" s="7" t="s">
        <v>184</v>
      </c>
      <c r="P4" s="7" t="s">
        <v>67</v>
      </c>
    </row>
    <row r="5" spans="1:16" x14ac:dyDescent="0.15">
      <c r="A5" s="12" t="s">
        <v>2</v>
      </c>
      <c r="B5" s="12">
        <v>0</v>
      </c>
      <c r="C5" s="12">
        <v>1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f>SUM(B5:O5)</f>
        <v>1</v>
      </c>
    </row>
    <row r="6" spans="1:16" x14ac:dyDescent="0.15">
      <c r="A6" s="12" t="s">
        <v>3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1</v>
      </c>
      <c r="M6" s="12">
        <v>0</v>
      </c>
      <c r="N6" s="12">
        <v>0</v>
      </c>
      <c r="O6" s="12">
        <v>0</v>
      </c>
      <c r="P6" s="12">
        <f t="shared" ref="P6:P34" si="0">SUM(B6:O6)</f>
        <v>1</v>
      </c>
    </row>
    <row r="7" spans="1:16" x14ac:dyDescent="0.15">
      <c r="A7" s="12" t="s">
        <v>83</v>
      </c>
      <c r="B7" s="12">
        <v>0</v>
      </c>
      <c r="C7" s="12">
        <v>0</v>
      </c>
      <c r="D7" s="12">
        <v>13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1</v>
      </c>
      <c r="M7" s="12">
        <v>0</v>
      </c>
      <c r="N7" s="12">
        <v>0</v>
      </c>
      <c r="O7" s="12">
        <v>0</v>
      </c>
      <c r="P7" s="12">
        <f t="shared" si="0"/>
        <v>14</v>
      </c>
    </row>
    <row r="8" spans="1:16" x14ac:dyDescent="0.15">
      <c r="A8" s="12" t="s">
        <v>47</v>
      </c>
      <c r="B8" s="12">
        <v>0</v>
      </c>
      <c r="C8" s="12">
        <v>42</v>
      </c>
      <c r="D8" s="12">
        <v>4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9</v>
      </c>
      <c r="M8" s="12">
        <v>0</v>
      </c>
      <c r="N8" s="12">
        <v>1</v>
      </c>
      <c r="O8" s="12">
        <v>0</v>
      </c>
      <c r="P8" s="12">
        <f t="shared" si="0"/>
        <v>56</v>
      </c>
    </row>
    <row r="9" spans="1:16" x14ac:dyDescent="0.15">
      <c r="A9" s="12" t="s">
        <v>48</v>
      </c>
      <c r="B9" s="12">
        <v>0</v>
      </c>
      <c r="C9" s="12">
        <v>85</v>
      </c>
      <c r="D9" s="12">
        <v>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3</v>
      </c>
      <c r="M9" s="12">
        <v>0</v>
      </c>
      <c r="N9" s="12">
        <v>5</v>
      </c>
      <c r="O9" s="12">
        <v>0</v>
      </c>
      <c r="P9" s="12">
        <f t="shared" si="0"/>
        <v>94</v>
      </c>
    </row>
    <row r="10" spans="1:16" x14ac:dyDescent="0.15">
      <c r="A10" s="12" t="s">
        <v>84</v>
      </c>
      <c r="B10" s="12">
        <v>0</v>
      </c>
      <c r="C10" s="12">
        <v>6</v>
      </c>
      <c r="D10" s="12">
        <v>16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24</v>
      </c>
      <c r="M10" s="12">
        <v>0</v>
      </c>
      <c r="N10" s="12">
        <v>0</v>
      </c>
      <c r="O10" s="12">
        <v>0</v>
      </c>
      <c r="P10" s="12">
        <f t="shared" si="0"/>
        <v>46</v>
      </c>
    </row>
    <row r="11" spans="1:16" x14ac:dyDescent="0.15">
      <c r="A11" s="12" t="s">
        <v>133</v>
      </c>
      <c r="B11" s="12">
        <v>0</v>
      </c>
      <c r="C11" s="12">
        <v>14</v>
      </c>
      <c r="D11" s="12">
        <v>79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1</v>
      </c>
      <c r="L11" s="12">
        <v>48</v>
      </c>
      <c r="M11" s="12">
        <v>0</v>
      </c>
      <c r="N11" s="12">
        <v>14</v>
      </c>
      <c r="O11" s="12">
        <v>0</v>
      </c>
      <c r="P11" s="12">
        <f t="shared" si="0"/>
        <v>156</v>
      </c>
    </row>
    <row r="12" spans="1:16" x14ac:dyDescent="0.15">
      <c r="A12" s="12" t="s">
        <v>85</v>
      </c>
      <c r="B12" s="12">
        <v>0</v>
      </c>
      <c r="C12" s="12">
        <v>4</v>
      </c>
      <c r="D12" s="12">
        <v>198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1</v>
      </c>
      <c r="K12" s="12">
        <v>0</v>
      </c>
      <c r="L12" s="12">
        <v>13</v>
      </c>
      <c r="M12" s="12">
        <v>0</v>
      </c>
      <c r="N12" s="12">
        <v>0</v>
      </c>
      <c r="O12" s="12">
        <v>0</v>
      </c>
      <c r="P12" s="12">
        <f t="shared" si="0"/>
        <v>216</v>
      </c>
    </row>
    <row r="13" spans="1:16" x14ac:dyDescent="0.15">
      <c r="A13" s="12" t="s">
        <v>49</v>
      </c>
      <c r="B13" s="12">
        <v>0</v>
      </c>
      <c r="C13" s="12">
        <v>8</v>
      </c>
      <c r="D13" s="12">
        <v>89</v>
      </c>
      <c r="E13" s="12">
        <v>0</v>
      </c>
      <c r="F13" s="12">
        <v>0</v>
      </c>
      <c r="G13" s="12">
        <v>0</v>
      </c>
      <c r="H13" s="12">
        <v>0</v>
      </c>
      <c r="I13" s="12">
        <v>1</v>
      </c>
      <c r="J13" s="12">
        <v>0</v>
      </c>
      <c r="K13" s="12">
        <v>0</v>
      </c>
      <c r="L13" s="12">
        <v>26</v>
      </c>
      <c r="M13" s="12">
        <v>0</v>
      </c>
      <c r="N13" s="12">
        <v>3</v>
      </c>
      <c r="O13" s="12">
        <v>0</v>
      </c>
      <c r="P13" s="12">
        <f t="shared" si="0"/>
        <v>127</v>
      </c>
    </row>
    <row r="14" spans="1:16" x14ac:dyDescent="0.15">
      <c r="A14" s="12" t="s">
        <v>87</v>
      </c>
      <c r="B14" s="12">
        <v>0</v>
      </c>
      <c r="C14" s="12">
        <v>1</v>
      </c>
      <c r="D14" s="12">
        <v>392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3</v>
      </c>
      <c r="M14" s="12">
        <v>0</v>
      </c>
      <c r="N14" s="12">
        <v>0</v>
      </c>
      <c r="O14" s="12">
        <v>0</v>
      </c>
      <c r="P14" s="12">
        <f t="shared" si="0"/>
        <v>396</v>
      </c>
    </row>
    <row r="15" spans="1:16" x14ac:dyDescent="0.15">
      <c r="A15" s="12" t="s">
        <v>88</v>
      </c>
      <c r="B15" s="12">
        <v>2</v>
      </c>
      <c r="C15" s="12">
        <v>0</v>
      </c>
      <c r="D15" s="12">
        <v>211</v>
      </c>
      <c r="E15" s="12">
        <v>0</v>
      </c>
      <c r="F15" s="12">
        <v>0</v>
      </c>
      <c r="G15" s="12">
        <v>0</v>
      </c>
      <c r="H15" s="12">
        <v>0</v>
      </c>
      <c r="I15" s="12">
        <v>2</v>
      </c>
      <c r="J15" s="12">
        <v>0</v>
      </c>
      <c r="K15" s="12">
        <v>0</v>
      </c>
      <c r="L15" s="12">
        <v>5</v>
      </c>
      <c r="M15" s="12">
        <v>0</v>
      </c>
      <c r="N15" s="12">
        <v>1</v>
      </c>
      <c r="O15" s="12">
        <v>0</v>
      </c>
      <c r="P15" s="12">
        <f t="shared" si="0"/>
        <v>221</v>
      </c>
    </row>
    <row r="16" spans="1:16" x14ac:dyDescent="0.15">
      <c r="A16" s="12" t="s">
        <v>50</v>
      </c>
      <c r="B16" s="12">
        <v>1</v>
      </c>
      <c r="C16" s="12">
        <v>0</v>
      </c>
      <c r="D16" s="12">
        <v>95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5</v>
      </c>
      <c r="M16" s="12">
        <v>0</v>
      </c>
      <c r="N16" s="12">
        <v>0</v>
      </c>
      <c r="O16" s="12">
        <v>0</v>
      </c>
      <c r="P16" s="12">
        <f t="shared" si="0"/>
        <v>101</v>
      </c>
    </row>
    <row r="17" spans="1:16" x14ac:dyDescent="0.15">
      <c r="A17" s="12" t="s">
        <v>89</v>
      </c>
      <c r="B17" s="12">
        <v>6</v>
      </c>
      <c r="C17" s="12">
        <v>1</v>
      </c>
      <c r="D17" s="12">
        <v>528</v>
      </c>
      <c r="E17" s="12">
        <v>0</v>
      </c>
      <c r="F17" s="12">
        <v>2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23</v>
      </c>
      <c r="M17" s="12">
        <v>0</v>
      </c>
      <c r="N17" s="12">
        <v>0</v>
      </c>
      <c r="O17" s="12">
        <v>7</v>
      </c>
      <c r="P17" s="12">
        <f t="shared" si="0"/>
        <v>567</v>
      </c>
    </row>
    <row r="18" spans="1:16" x14ac:dyDescent="0.15">
      <c r="A18" s="12" t="s">
        <v>51</v>
      </c>
      <c r="B18" s="12">
        <v>9</v>
      </c>
      <c r="C18" s="12">
        <v>0</v>
      </c>
      <c r="D18" s="12">
        <v>236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18</v>
      </c>
      <c r="M18" s="12">
        <v>0</v>
      </c>
      <c r="N18" s="12">
        <v>0</v>
      </c>
      <c r="O18" s="12">
        <v>0</v>
      </c>
      <c r="P18" s="12">
        <f t="shared" si="0"/>
        <v>263</v>
      </c>
    </row>
    <row r="19" spans="1:16" x14ac:dyDescent="0.15">
      <c r="A19" s="12" t="s">
        <v>91</v>
      </c>
      <c r="B19" s="12">
        <v>0</v>
      </c>
      <c r="C19" s="12">
        <v>0</v>
      </c>
      <c r="D19" s="12">
        <v>152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>
        <v>0</v>
      </c>
      <c r="K19" s="12">
        <v>0</v>
      </c>
      <c r="L19" s="12">
        <v>15</v>
      </c>
      <c r="M19" s="12">
        <v>0</v>
      </c>
      <c r="N19" s="12">
        <v>0</v>
      </c>
      <c r="O19" s="12">
        <v>0</v>
      </c>
      <c r="P19" s="12">
        <f t="shared" si="0"/>
        <v>168</v>
      </c>
    </row>
    <row r="20" spans="1:16" x14ac:dyDescent="0.15">
      <c r="A20" s="12" t="s">
        <v>52</v>
      </c>
      <c r="B20" s="12">
        <v>1</v>
      </c>
      <c r="C20" s="12">
        <v>0</v>
      </c>
      <c r="D20" s="12">
        <v>225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1</v>
      </c>
      <c r="K20" s="12">
        <v>0</v>
      </c>
      <c r="L20" s="12">
        <v>18</v>
      </c>
      <c r="M20" s="12">
        <v>0</v>
      </c>
      <c r="N20" s="12">
        <v>0</v>
      </c>
      <c r="O20" s="12">
        <v>0</v>
      </c>
      <c r="P20" s="12">
        <f t="shared" si="0"/>
        <v>245</v>
      </c>
    </row>
    <row r="21" spans="1:16" x14ac:dyDescent="0.15">
      <c r="A21" s="12" t="s">
        <v>53</v>
      </c>
      <c r="B21" s="12">
        <v>2</v>
      </c>
      <c r="C21" s="12">
        <v>0</v>
      </c>
      <c r="D21" s="12">
        <v>178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14</v>
      </c>
      <c r="M21" s="12">
        <v>0</v>
      </c>
      <c r="N21" s="12">
        <v>0</v>
      </c>
      <c r="O21" s="12">
        <v>0</v>
      </c>
      <c r="P21" s="12">
        <f t="shared" si="0"/>
        <v>194</v>
      </c>
    </row>
    <row r="22" spans="1:16" x14ac:dyDescent="0.15">
      <c r="A22" s="12" t="s">
        <v>54</v>
      </c>
      <c r="B22" s="12">
        <v>1</v>
      </c>
      <c r="C22" s="12">
        <v>0</v>
      </c>
      <c r="D22" s="12">
        <v>286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6</v>
      </c>
      <c r="M22" s="12">
        <v>0</v>
      </c>
      <c r="N22" s="12">
        <v>0</v>
      </c>
      <c r="O22" s="12">
        <v>0</v>
      </c>
      <c r="P22" s="12">
        <f t="shared" si="0"/>
        <v>293</v>
      </c>
    </row>
    <row r="23" spans="1:16" x14ac:dyDescent="0.15">
      <c r="A23" s="12" t="s">
        <v>55</v>
      </c>
      <c r="B23" s="12">
        <v>5</v>
      </c>
      <c r="C23" s="12">
        <v>1</v>
      </c>
      <c r="D23" s="12">
        <v>251</v>
      </c>
      <c r="E23" s="12">
        <v>0</v>
      </c>
      <c r="F23" s="12">
        <v>11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8</v>
      </c>
      <c r="M23" s="12">
        <v>0</v>
      </c>
      <c r="N23" s="12">
        <v>0</v>
      </c>
      <c r="O23" s="12">
        <v>0</v>
      </c>
      <c r="P23" s="12">
        <f t="shared" si="0"/>
        <v>276</v>
      </c>
    </row>
    <row r="24" spans="1:16" x14ac:dyDescent="0.15">
      <c r="A24" s="12" t="s">
        <v>93</v>
      </c>
      <c r="B24" s="12">
        <v>2</v>
      </c>
      <c r="C24" s="12">
        <v>2</v>
      </c>
      <c r="D24" s="12">
        <v>481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10</v>
      </c>
      <c r="M24" s="12">
        <v>0</v>
      </c>
      <c r="N24" s="12">
        <v>0</v>
      </c>
      <c r="O24" s="12">
        <v>0</v>
      </c>
      <c r="P24" s="12">
        <f t="shared" si="0"/>
        <v>495</v>
      </c>
    </row>
    <row r="25" spans="1:16" x14ac:dyDescent="0.15">
      <c r="A25" s="12" t="s">
        <v>94</v>
      </c>
      <c r="B25" s="12">
        <v>9</v>
      </c>
      <c r="C25" s="12">
        <v>0</v>
      </c>
      <c r="D25" s="12">
        <v>193</v>
      </c>
      <c r="E25" s="12">
        <v>0</v>
      </c>
      <c r="F25" s="12">
        <v>0</v>
      </c>
      <c r="G25" s="12">
        <v>1</v>
      </c>
      <c r="H25" s="12">
        <v>0</v>
      </c>
      <c r="I25" s="12">
        <v>0</v>
      </c>
      <c r="J25" s="12">
        <v>0</v>
      </c>
      <c r="K25" s="12">
        <v>0</v>
      </c>
      <c r="L25" s="12">
        <v>6</v>
      </c>
      <c r="M25" s="12">
        <v>1</v>
      </c>
      <c r="N25" s="12">
        <v>4</v>
      </c>
      <c r="O25" s="12">
        <v>0</v>
      </c>
      <c r="P25" s="12">
        <f t="shared" si="0"/>
        <v>214</v>
      </c>
    </row>
    <row r="26" spans="1:16" x14ac:dyDescent="0.15">
      <c r="A26" s="12" t="s">
        <v>56</v>
      </c>
      <c r="B26" s="12">
        <v>4</v>
      </c>
      <c r="C26" s="12">
        <v>1</v>
      </c>
      <c r="D26" s="12">
        <v>658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  <c r="J26" s="12">
        <v>0</v>
      </c>
      <c r="K26" s="12">
        <v>0</v>
      </c>
      <c r="L26" s="12">
        <v>4</v>
      </c>
      <c r="M26" s="12">
        <v>0</v>
      </c>
      <c r="N26" s="12">
        <v>4</v>
      </c>
      <c r="O26" s="12">
        <v>12</v>
      </c>
      <c r="P26" s="12">
        <f t="shared" si="0"/>
        <v>684</v>
      </c>
    </row>
    <row r="27" spans="1:16" x14ac:dyDescent="0.15">
      <c r="A27" s="12" t="s">
        <v>95</v>
      </c>
      <c r="B27" s="12">
        <v>2</v>
      </c>
      <c r="C27" s="12">
        <v>0</v>
      </c>
      <c r="D27" s="12">
        <v>608</v>
      </c>
      <c r="E27" s="12">
        <v>0</v>
      </c>
      <c r="F27" s="12">
        <v>0</v>
      </c>
      <c r="G27" s="12">
        <v>2</v>
      </c>
      <c r="H27" s="12">
        <v>0</v>
      </c>
      <c r="I27" s="12">
        <v>0</v>
      </c>
      <c r="J27" s="12">
        <v>0</v>
      </c>
      <c r="K27" s="12">
        <v>0</v>
      </c>
      <c r="L27" s="12">
        <v>5</v>
      </c>
      <c r="M27" s="12">
        <v>0</v>
      </c>
      <c r="N27" s="12">
        <v>8</v>
      </c>
      <c r="O27" s="12">
        <v>1</v>
      </c>
      <c r="P27" s="12">
        <f t="shared" si="0"/>
        <v>626</v>
      </c>
    </row>
    <row r="28" spans="1:16" x14ac:dyDescent="0.15">
      <c r="A28" s="12" t="s">
        <v>97</v>
      </c>
      <c r="B28" s="12">
        <v>0</v>
      </c>
      <c r="C28" s="12">
        <v>2</v>
      </c>
      <c r="D28" s="12">
        <v>503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3</v>
      </c>
      <c r="M28" s="12">
        <v>0</v>
      </c>
      <c r="N28" s="12">
        <v>1</v>
      </c>
      <c r="O28" s="12">
        <v>0</v>
      </c>
      <c r="P28" s="12">
        <f t="shared" si="0"/>
        <v>509</v>
      </c>
    </row>
    <row r="29" spans="1:16" x14ac:dyDescent="0.15">
      <c r="A29" s="12" t="s">
        <v>98</v>
      </c>
      <c r="B29" s="12">
        <v>1</v>
      </c>
      <c r="C29" s="12">
        <v>2</v>
      </c>
      <c r="D29" s="12">
        <v>386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3</v>
      </c>
      <c r="M29" s="12">
        <v>0</v>
      </c>
      <c r="N29" s="12">
        <v>1</v>
      </c>
      <c r="O29" s="12">
        <v>3</v>
      </c>
      <c r="P29" s="12">
        <f t="shared" si="0"/>
        <v>396</v>
      </c>
    </row>
    <row r="30" spans="1:16" x14ac:dyDescent="0.15">
      <c r="A30" s="12" t="s">
        <v>99</v>
      </c>
      <c r="B30" s="12">
        <v>0</v>
      </c>
      <c r="C30" s="12">
        <v>0</v>
      </c>
      <c r="D30" s="12">
        <v>255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f t="shared" si="0"/>
        <v>255</v>
      </c>
    </row>
    <row r="31" spans="1:16" x14ac:dyDescent="0.15">
      <c r="A31" s="12" t="s">
        <v>100</v>
      </c>
      <c r="B31" s="12">
        <v>0</v>
      </c>
      <c r="C31" s="12">
        <v>0</v>
      </c>
      <c r="D31" s="12">
        <v>149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5</v>
      </c>
      <c r="M31" s="12">
        <v>0</v>
      </c>
      <c r="N31" s="12">
        <v>0</v>
      </c>
      <c r="O31" s="12">
        <v>0</v>
      </c>
      <c r="P31" s="12">
        <f t="shared" si="0"/>
        <v>154</v>
      </c>
    </row>
    <row r="32" spans="1:16" x14ac:dyDescent="0.15">
      <c r="A32" s="12" t="s">
        <v>112</v>
      </c>
      <c r="B32" s="12">
        <v>0</v>
      </c>
      <c r="C32" s="12">
        <v>0</v>
      </c>
      <c r="D32" s="12">
        <v>345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0</v>
      </c>
      <c r="P32" s="12">
        <f t="shared" si="0"/>
        <v>346</v>
      </c>
    </row>
    <row r="33" spans="1:16" x14ac:dyDescent="0.15">
      <c r="A33" s="12" t="s">
        <v>101</v>
      </c>
      <c r="B33" s="12">
        <v>0</v>
      </c>
      <c r="C33" s="12">
        <v>0</v>
      </c>
      <c r="D33" s="12">
        <v>521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f t="shared" si="0"/>
        <v>521</v>
      </c>
    </row>
    <row r="34" spans="1:16" x14ac:dyDescent="0.15">
      <c r="A34" s="12" t="s">
        <v>57</v>
      </c>
      <c r="B34" s="12">
        <v>0</v>
      </c>
      <c r="C34" s="12">
        <v>0</v>
      </c>
      <c r="D34" s="12">
        <v>45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f t="shared" si="0"/>
        <v>45</v>
      </c>
    </row>
    <row r="35" spans="1:16" x14ac:dyDescent="0.15">
      <c r="A35" s="14" t="s">
        <v>182</v>
      </c>
      <c r="B35" s="14">
        <f>SUM(B5:B34)</f>
        <v>45</v>
      </c>
      <c r="C35" s="14">
        <f t="shared" ref="C35:P35" si="1">SUM(C5:C34)</f>
        <v>170</v>
      </c>
      <c r="D35" s="14">
        <f t="shared" si="1"/>
        <v>7098</v>
      </c>
      <c r="E35" s="14">
        <f t="shared" si="1"/>
        <v>0</v>
      </c>
      <c r="F35" s="14">
        <f t="shared" si="1"/>
        <v>13</v>
      </c>
      <c r="G35" s="14">
        <f t="shared" si="1"/>
        <v>4</v>
      </c>
      <c r="H35" s="14">
        <f t="shared" si="1"/>
        <v>0</v>
      </c>
      <c r="I35" s="14">
        <f t="shared" si="1"/>
        <v>4</v>
      </c>
      <c r="J35" s="14">
        <f t="shared" si="1"/>
        <v>2</v>
      </c>
      <c r="K35" s="14">
        <f t="shared" si="1"/>
        <v>1</v>
      </c>
      <c r="L35" s="14">
        <f t="shared" si="1"/>
        <v>277</v>
      </c>
      <c r="M35" s="14">
        <f t="shared" si="1"/>
        <v>1</v>
      </c>
      <c r="N35" s="14">
        <f t="shared" si="1"/>
        <v>42</v>
      </c>
      <c r="O35" s="14">
        <f t="shared" si="1"/>
        <v>23</v>
      </c>
      <c r="P35" s="14">
        <f t="shared" si="1"/>
        <v>7680</v>
      </c>
    </row>
  </sheetData>
  <mergeCells count="2">
    <mergeCell ref="A1:P1"/>
    <mergeCell ref="A3:A4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zoomScale="85" zoomScaleNormal="85" workbookViewId="0">
      <selection sqref="A1:L1"/>
    </sheetView>
  </sheetViews>
  <sheetFormatPr defaultRowHeight="13.5" x14ac:dyDescent="0.15"/>
  <sheetData>
    <row r="1" spans="1:12" ht="18.75" x14ac:dyDescent="0.25">
      <c r="A1" s="51" t="s">
        <v>185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x14ac:dyDescent="0.15">
      <c r="L2" s="16" t="s">
        <v>65</v>
      </c>
    </row>
    <row r="3" spans="1:12" ht="40.5" x14ac:dyDescent="0.15">
      <c r="A3" s="7" t="s">
        <v>24</v>
      </c>
      <c r="B3" s="7" t="s">
        <v>148</v>
      </c>
      <c r="C3" s="7" t="s">
        <v>147</v>
      </c>
      <c r="D3" s="7" t="s">
        <v>153</v>
      </c>
      <c r="E3" s="7" t="s">
        <v>46</v>
      </c>
      <c r="F3" s="7" t="s">
        <v>44</v>
      </c>
      <c r="G3" s="7" t="s">
        <v>40</v>
      </c>
      <c r="H3" s="7" t="s">
        <v>39</v>
      </c>
      <c r="I3" s="7" t="s">
        <v>149</v>
      </c>
      <c r="J3" s="7" t="s">
        <v>42</v>
      </c>
      <c r="K3" s="7" t="s">
        <v>186</v>
      </c>
      <c r="L3" s="7" t="s">
        <v>0</v>
      </c>
    </row>
    <row r="4" spans="1:12" x14ac:dyDescent="0.15">
      <c r="A4" s="12" t="s">
        <v>187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>
        <f>SUM(B4:K4)</f>
        <v>0</v>
      </c>
    </row>
    <row r="5" spans="1:12" x14ac:dyDescent="0.15">
      <c r="A5" s="12" t="s">
        <v>1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2</v>
      </c>
      <c r="H5" s="12">
        <v>0</v>
      </c>
      <c r="I5" s="12">
        <v>0</v>
      </c>
      <c r="J5" s="12">
        <v>0</v>
      </c>
      <c r="K5" s="12">
        <v>0</v>
      </c>
      <c r="L5" s="12">
        <f t="shared" ref="L5:L37" si="0">SUM(B5:K5)</f>
        <v>2</v>
      </c>
    </row>
    <row r="6" spans="1:12" x14ac:dyDescent="0.15">
      <c r="A6" s="12" t="s">
        <v>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16</v>
      </c>
      <c r="H6" s="12">
        <v>0</v>
      </c>
      <c r="I6" s="12">
        <v>0</v>
      </c>
      <c r="J6" s="12">
        <v>0</v>
      </c>
      <c r="K6" s="12">
        <v>0</v>
      </c>
      <c r="L6" s="12">
        <f t="shared" si="0"/>
        <v>16</v>
      </c>
    </row>
    <row r="7" spans="1:12" x14ac:dyDescent="0.15">
      <c r="A7" s="12" t="s">
        <v>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4</v>
      </c>
      <c r="H7" s="12">
        <v>0</v>
      </c>
      <c r="I7" s="12">
        <v>0</v>
      </c>
      <c r="J7" s="12">
        <v>0</v>
      </c>
      <c r="K7" s="12">
        <v>0</v>
      </c>
      <c r="L7" s="12">
        <f t="shared" si="0"/>
        <v>4</v>
      </c>
    </row>
    <row r="8" spans="1:12" x14ac:dyDescent="0.15">
      <c r="A8" s="12" t="s">
        <v>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>
        <f t="shared" si="0"/>
        <v>0</v>
      </c>
    </row>
    <row r="9" spans="1:12" x14ac:dyDescent="0.15">
      <c r="A9" s="12" t="s">
        <v>70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54</v>
      </c>
      <c r="H9" s="12">
        <v>0</v>
      </c>
      <c r="I9" s="12">
        <v>0</v>
      </c>
      <c r="J9" s="12">
        <v>0</v>
      </c>
      <c r="K9" s="12">
        <v>0</v>
      </c>
      <c r="L9" s="12">
        <f t="shared" si="0"/>
        <v>54</v>
      </c>
    </row>
    <row r="10" spans="1:12" x14ac:dyDescent="0.15">
      <c r="A10" s="12" t="s">
        <v>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30</v>
      </c>
      <c r="H10" s="12">
        <v>0</v>
      </c>
      <c r="I10" s="12">
        <v>0</v>
      </c>
      <c r="J10" s="12">
        <v>0</v>
      </c>
      <c r="K10" s="12">
        <v>0</v>
      </c>
      <c r="L10" s="12">
        <f t="shared" si="0"/>
        <v>30</v>
      </c>
    </row>
    <row r="11" spans="1:12" x14ac:dyDescent="0.15">
      <c r="A11" s="12" t="s">
        <v>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98</v>
      </c>
      <c r="H11" s="12">
        <v>0</v>
      </c>
      <c r="I11" s="12">
        <v>0</v>
      </c>
      <c r="J11" s="12">
        <v>0</v>
      </c>
      <c r="K11" s="12">
        <v>0</v>
      </c>
      <c r="L11" s="12">
        <f t="shared" si="0"/>
        <v>98</v>
      </c>
    </row>
    <row r="12" spans="1:12" x14ac:dyDescent="0.15">
      <c r="A12" s="12" t="s">
        <v>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60</v>
      </c>
      <c r="H12" s="12">
        <v>0</v>
      </c>
      <c r="I12" s="12">
        <v>0</v>
      </c>
      <c r="J12" s="12">
        <v>0</v>
      </c>
      <c r="K12" s="12">
        <v>0</v>
      </c>
      <c r="L12" s="12">
        <f t="shared" si="0"/>
        <v>60</v>
      </c>
    </row>
    <row r="13" spans="1:12" x14ac:dyDescent="0.15">
      <c r="A13" s="12" t="s">
        <v>72</v>
      </c>
      <c r="B13" s="12">
        <v>0</v>
      </c>
      <c r="C13" s="12">
        <v>0</v>
      </c>
      <c r="D13" s="12">
        <v>0</v>
      </c>
      <c r="E13" s="12">
        <v>0</v>
      </c>
      <c r="F13" s="12">
        <v>14</v>
      </c>
      <c r="G13" s="12">
        <v>210</v>
      </c>
      <c r="H13" s="12">
        <v>0</v>
      </c>
      <c r="I13" s="12">
        <v>0</v>
      </c>
      <c r="J13" s="12">
        <v>0</v>
      </c>
      <c r="K13" s="12">
        <v>0</v>
      </c>
      <c r="L13" s="12">
        <f t="shared" si="0"/>
        <v>224</v>
      </c>
    </row>
    <row r="14" spans="1:12" x14ac:dyDescent="0.15">
      <c r="A14" s="12" t="s">
        <v>73</v>
      </c>
      <c r="B14" s="12">
        <v>0</v>
      </c>
      <c r="C14" s="12">
        <v>0</v>
      </c>
      <c r="D14" s="12">
        <v>0</v>
      </c>
      <c r="E14" s="12">
        <v>0</v>
      </c>
      <c r="F14" s="12">
        <v>30</v>
      </c>
      <c r="G14" s="12">
        <v>638</v>
      </c>
      <c r="H14" s="12">
        <v>0</v>
      </c>
      <c r="I14" s="12">
        <v>0</v>
      </c>
      <c r="J14" s="12">
        <v>0</v>
      </c>
      <c r="K14" s="12">
        <v>0</v>
      </c>
      <c r="L14" s="12">
        <f t="shared" si="0"/>
        <v>668</v>
      </c>
    </row>
    <row r="15" spans="1:12" x14ac:dyDescent="0.15">
      <c r="A15" s="12" t="s">
        <v>74</v>
      </c>
      <c r="B15" s="12">
        <v>0</v>
      </c>
      <c r="C15" s="12">
        <v>0</v>
      </c>
      <c r="D15" s="12">
        <v>0</v>
      </c>
      <c r="E15" s="12">
        <v>0</v>
      </c>
      <c r="F15" s="12">
        <v>24</v>
      </c>
      <c r="G15" s="12">
        <v>456</v>
      </c>
      <c r="H15" s="12">
        <v>0</v>
      </c>
      <c r="I15" s="12">
        <v>0</v>
      </c>
      <c r="J15" s="12">
        <v>0</v>
      </c>
      <c r="K15" s="12">
        <v>0</v>
      </c>
      <c r="L15" s="12">
        <f t="shared" si="0"/>
        <v>480</v>
      </c>
    </row>
    <row r="16" spans="1:12" x14ac:dyDescent="0.15">
      <c r="A16" s="12" t="s">
        <v>59</v>
      </c>
      <c r="B16" s="12">
        <v>0</v>
      </c>
      <c r="C16" s="12">
        <v>0</v>
      </c>
      <c r="D16" s="12">
        <v>0</v>
      </c>
      <c r="E16" s="12">
        <v>2</v>
      </c>
      <c r="F16" s="12">
        <v>56</v>
      </c>
      <c r="G16" s="12">
        <v>1226</v>
      </c>
      <c r="H16" s="12">
        <v>0</v>
      </c>
      <c r="I16" s="12">
        <v>0</v>
      </c>
      <c r="J16" s="12">
        <v>0</v>
      </c>
      <c r="K16" s="12">
        <v>0</v>
      </c>
      <c r="L16" s="12">
        <f t="shared" si="0"/>
        <v>1284</v>
      </c>
    </row>
    <row r="17" spans="1:12" x14ac:dyDescent="0.15">
      <c r="A17" s="12" t="s">
        <v>188</v>
      </c>
      <c r="B17" s="12">
        <v>1</v>
      </c>
      <c r="C17" s="12">
        <v>0</v>
      </c>
      <c r="D17" s="12">
        <v>0</v>
      </c>
      <c r="E17" s="12">
        <v>2</v>
      </c>
      <c r="F17" s="12">
        <v>34</v>
      </c>
      <c r="G17" s="12">
        <v>532</v>
      </c>
      <c r="H17" s="12">
        <v>0</v>
      </c>
      <c r="I17" s="12">
        <v>0</v>
      </c>
      <c r="J17" s="12">
        <v>0</v>
      </c>
      <c r="K17" s="12">
        <v>0</v>
      </c>
      <c r="L17" s="12">
        <f t="shared" si="0"/>
        <v>569</v>
      </c>
    </row>
    <row r="18" spans="1:12" x14ac:dyDescent="0.15">
      <c r="A18" s="12" t="s">
        <v>76</v>
      </c>
      <c r="B18" s="12">
        <v>22</v>
      </c>
      <c r="C18" s="12">
        <v>0</v>
      </c>
      <c r="D18" s="12">
        <v>10</v>
      </c>
      <c r="E18" s="12">
        <v>0</v>
      </c>
      <c r="F18" s="12">
        <v>26</v>
      </c>
      <c r="G18" s="12">
        <v>768</v>
      </c>
      <c r="H18" s="12">
        <v>0</v>
      </c>
      <c r="I18" s="12">
        <v>0</v>
      </c>
      <c r="J18" s="12">
        <v>0</v>
      </c>
      <c r="K18" s="12">
        <v>0</v>
      </c>
      <c r="L18" s="12">
        <f t="shared" si="0"/>
        <v>826</v>
      </c>
    </row>
    <row r="19" spans="1:12" x14ac:dyDescent="0.15">
      <c r="A19" s="12" t="s">
        <v>60</v>
      </c>
      <c r="B19" s="12">
        <v>18</v>
      </c>
      <c r="C19" s="12">
        <v>0</v>
      </c>
      <c r="D19" s="12">
        <v>21</v>
      </c>
      <c r="E19" s="12">
        <v>0</v>
      </c>
      <c r="F19" s="12">
        <v>29</v>
      </c>
      <c r="G19" s="12">
        <v>459</v>
      </c>
      <c r="H19" s="12">
        <v>0</v>
      </c>
      <c r="I19" s="12">
        <v>0</v>
      </c>
      <c r="J19" s="12">
        <v>0</v>
      </c>
      <c r="K19" s="12">
        <v>0</v>
      </c>
      <c r="L19" s="12">
        <f t="shared" si="0"/>
        <v>527</v>
      </c>
    </row>
    <row r="20" spans="1:12" x14ac:dyDescent="0.15">
      <c r="A20" s="12" t="s">
        <v>61</v>
      </c>
      <c r="B20" s="12">
        <v>28</v>
      </c>
      <c r="C20" s="12">
        <v>0</v>
      </c>
      <c r="D20" s="12">
        <v>14</v>
      </c>
      <c r="E20" s="12">
        <v>14</v>
      </c>
      <c r="F20" s="12">
        <v>36</v>
      </c>
      <c r="G20" s="12">
        <v>822</v>
      </c>
      <c r="H20" s="12">
        <v>0</v>
      </c>
      <c r="I20" s="12">
        <v>0</v>
      </c>
      <c r="J20" s="12">
        <v>0</v>
      </c>
      <c r="K20" s="12">
        <v>0</v>
      </c>
      <c r="L20" s="12">
        <f t="shared" si="0"/>
        <v>914</v>
      </c>
    </row>
    <row r="21" spans="1:12" x14ac:dyDescent="0.15">
      <c r="A21" s="12" t="s">
        <v>62</v>
      </c>
      <c r="B21" s="12">
        <v>31</v>
      </c>
      <c r="C21" s="12">
        <v>0</v>
      </c>
      <c r="D21" s="12">
        <v>11</v>
      </c>
      <c r="E21" s="12">
        <v>6</v>
      </c>
      <c r="F21" s="12">
        <v>30</v>
      </c>
      <c r="G21" s="12">
        <v>551</v>
      </c>
      <c r="H21" s="12">
        <v>4</v>
      </c>
      <c r="I21" s="12">
        <v>0</v>
      </c>
      <c r="J21" s="12">
        <v>0</v>
      </c>
      <c r="K21" s="12">
        <v>0</v>
      </c>
      <c r="L21" s="12">
        <f t="shared" si="0"/>
        <v>633</v>
      </c>
    </row>
    <row r="22" spans="1:12" x14ac:dyDescent="0.15">
      <c r="A22" s="12" t="s">
        <v>8</v>
      </c>
      <c r="B22" s="12">
        <v>12</v>
      </c>
      <c r="C22" s="12">
        <v>0</v>
      </c>
      <c r="D22" s="12">
        <v>14</v>
      </c>
      <c r="E22" s="12">
        <v>6</v>
      </c>
      <c r="F22" s="12">
        <v>20</v>
      </c>
      <c r="G22" s="12">
        <v>379</v>
      </c>
      <c r="H22" s="12">
        <v>17</v>
      </c>
      <c r="I22" s="12">
        <v>0</v>
      </c>
      <c r="J22" s="12">
        <v>0</v>
      </c>
      <c r="K22" s="12">
        <v>0</v>
      </c>
      <c r="L22" s="12">
        <f t="shared" si="0"/>
        <v>448</v>
      </c>
    </row>
    <row r="23" spans="1:12" x14ac:dyDescent="0.15">
      <c r="A23" s="12" t="s">
        <v>9</v>
      </c>
      <c r="B23" s="12">
        <v>4</v>
      </c>
      <c r="C23" s="12">
        <v>0</v>
      </c>
      <c r="D23" s="12">
        <v>10</v>
      </c>
      <c r="E23" s="12">
        <v>0</v>
      </c>
      <c r="F23" s="12">
        <v>5</v>
      </c>
      <c r="G23" s="12">
        <v>376</v>
      </c>
      <c r="H23" s="12">
        <v>3</v>
      </c>
      <c r="I23" s="12">
        <v>0</v>
      </c>
      <c r="J23" s="12">
        <v>0</v>
      </c>
      <c r="K23" s="12">
        <v>0</v>
      </c>
      <c r="L23" s="12">
        <f t="shared" si="0"/>
        <v>398</v>
      </c>
    </row>
    <row r="24" spans="1:12" x14ac:dyDescent="0.15">
      <c r="A24" s="12" t="s">
        <v>10</v>
      </c>
      <c r="B24" s="12">
        <v>0</v>
      </c>
      <c r="C24" s="12">
        <v>0</v>
      </c>
      <c r="D24" s="12">
        <v>0</v>
      </c>
      <c r="E24" s="12">
        <v>0</v>
      </c>
      <c r="F24" s="12">
        <v>9</v>
      </c>
      <c r="G24" s="12">
        <v>337</v>
      </c>
      <c r="H24" s="12">
        <v>2</v>
      </c>
      <c r="I24" s="12">
        <v>0</v>
      </c>
      <c r="J24" s="12">
        <v>0</v>
      </c>
      <c r="K24" s="12">
        <v>0</v>
      </c>
      <c r="L24" s="12">
        <f t="shared" si="0"/>
        <v>348</v>
      </c>
    </row>
    <row r="25" spans="1:12" x14ac:dyDescent="0.15">
      <c r="A25" s="12" t="s">
        <v>11</v>
      </c>
      <c r="B25" s="12">
        <v>2</v>
      </c>
      <c r="C25" s="12">
        <v>0</v>
      </c>
      <c r="D25" s="12">
        <v>0</v>
      </c>
      <c r="E25" s="12">
        <v>0</v>
      </c>
      <c r="F25" s="12">
        <v>4</v>
      </c>
      <c r="G25" s="12">
        <v>193</v>
      </c>
      <c r="H25" s="12">
        <v>0</v>
      </c>
      <c r="I25" s="12">
        <v>0</v>
      </c>
      <c r="J25" s="12">
        <v>0</v>
      </c>
      <c r="K25" s="12">
        <v>0</v>
      </c>
      <c r="L25" s="12">
        <f t="shared" si="0"/>
        <v>199</v>
      </c>
    </row>
    <row r="26" spans="1:12" x14ac:dyDescent="0.15">
      <c r="A26" s="12" t="s">
        <v>12</v>
      </c>
      <c r="B26" s="12">
        <v>0</v>
      </c>
      <c r="C26" s="12">
        <v>0</v>
      </c>
      <c r="D26" s="12">
        <v>3</v>
      </c>
      <c r="E26" s="12">
        <v>0</v>
      </c>
      <c r="F26" s="12">
        <v>10</v>
      </c>
      <c r="G26" s="12">
        <v>235</v>
      </c>
      <c r="H26" s="12">
        <v>0</v>
      </c>
      <c r="I26" s="12">
        <v>0</v>
      </c>
      <c r="J26" s="12">
        <v>0</v>
      </c>
      <c r="K26" s="12">
        <v>0</v>
      </c>
      <c r="L26" s="12">
        <f t="shared" si="0"/>
        <v>248</v>
      </c>
    </row>
    <row r="27" spans="1:12" x14ac:dyDescent="0.15">
      <c r="A27" s="12" t="s">
        <v>13</v>
      </c>
      <c r="B27" s="12">
        <v>1</v>
      </c>
      <c r="C27" s="12">
        <v>0</v>
      </c>
      <c r="D27" s="12">
        <v>5</v>
      </c>
      <c r="E27" s="12">
        <v>0</v>
      </c>
      <c r="F27" s="12">
        <v>8</v>
      </c>
      <c r="G27" s="12">
        <v>242</v>
      </c>
      <c r="H27" s="12">
        <v>0</v>
      </c>
      <c r="I27" s="12">
        <v>0</v>
      </c>
      <c r="J27" s="12">
        <v>0</v>
      </c>
      <c r="K27" s="12">
        <v>0</v>
      </c>
      <c r="L27" s="12">
        <f t="shared" si="0"/>
        <v>256</v>
      </c>
    </row>
    <row r="28" spans="1:12" x14ac:dyDescent="0.15">
      <c r="A28" s="12" t="s">
        <v>14</v>
      </c>
      <c r="B28" s="12">
        <v>0</v>
      </c>
      <c r="C28" s="12">
        <v>0</v>
      </c>
      <c r="D28" s="12">
        <v>8</v>
      </c>
      <c r="E28" s="12">
        <v>0</v>
      </c>
      <c r="F28" s="12">
        <v>4</v>
      </c>
      <c r="G28" s="12">
        <v>266</v>
      </c>
      <c r="H28" s="12">
        <v>0</v>
      </c>
      <c r="I28" s="12">
        <v>0</v>
      </c>
      <c r="J28" s="12">
        <v>0</v>
      </c>
      <c r="K28" s="12">
        <v>0</v>
      </c>
      <c r="L28" s="12">
        <f t="shared" si="0"/>
        <v>278</v>
      </c>
    </row>
    <row r="29" spans="1:12" x14ac:dyDescent="0.15">
      <c r="A29" s="12" t="s">
        <v>113</v>
      </c>
      <c r="B29" s="12">
        <v>0</v>
      </c>
      <c r="C29" s="12">
        <v>0</v>
      </c>
      <c r="D29" s="12">
        <v>6</v>
      </c>
      <c r="E29" s="12">
        <v>0</v>
      </c>
      <c r="F29" s="12">
        <v>3</v>
      </c>
      <c r="G29" s="12">
        <v>207</v>
      </c>
      <c r="H29" s="12">
        <v>0</v>
      </c>
      <c r="I29" s="12">
        <v>0</v>
      </c>
      <c r="J29" s="12">
        <v>0</v>
      </c>
      <c r="K29" s="12">
        <v>0</v>
      </c>
      <c r="L29" s="12">
        <f t="shared" si="0"/>
        <v>216</v>
      </c>
    </row>
    <row r="30" spans="1:12" x14ac:dyDescent="0.15">
      <c r="A30" s="12" t="s">
        <v>16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138</v>
      </c>
      <c r="H30" s="12">
        <v>0</v>
      </c>
      <c r="I30" s="12">
        <v>0</v>
      </c>
      <c r="J30" s="12">
        <v>0</v>
      </c>
      <c r="K30" s="12">
        <v>0</v>
      </c>
      <c r="L30" s="12">
        <f t="shared" si="0"/>
        <v>138</v>
      </c>
    </row>
    <row r="31" spans="1:12" x14ac:dyDescent="0.15">
      <c r="A31" s="12" t="s">
        <v>17</v>
      </c>
      <c r="B31" s="12">
        <v>0</v>
      </c>
      <c r="C31" s="12">
        <v>0</v>
      </c>
      <c r="D31" s="12">
        <v>1</v>
      </c>
      <c r="E31" s="12">
        <v>0</v>
      </c>
      <c r="F31" s="12">
        <v>0</v>
      </c>
      <c r="G31" s="12">
        <v>218</v>
      </c>
      <c r="H31" s="12">
        <v>1</v>
      </c>
      <c r="I31" s="12">
        <v>0</v>
      </c>
      <c r="J31" s="12">
        <v>0</v>
      </c>
      <c r="K31" s="12">
        <v>0</v>
      </c>
      <c r="L31" s="12">
        <f t="shared" si="0"/>
        <v>220</v>
      </c>
    </row>
    <row r="32" spans="1:12" x14ac:dyDescent="0.15">
      <c r="A32" s="12" t="s">
        <v>18</v>
      </c>
      <c r="B32" s="12">
        <v>0</v>
      </c>
      <c r="C32" s="12">
        <v>0</v>
      </c>
      <c r="D32" s="12">
        <v>0</v>
      </c>
      <c r="E32" s="12">
        <v>0</v>
      </c>
      <c r="F32" s="12">
        <v>5</v>
      </c>
      <c r="G32" s="12">
        <v>201</v>
      </c>
      <c r="H32" s="12">
        <v>2</v>
      </c>
      <c r="I32" s="12">
        <v>0</v>
      </c>
      <c r="J32" s="12">
        <v>0</v>
      </c>
      <c r="K32" s="12">
        <v>0</v>
      </c>
      <c r="L32" s="12">
        <f t="shared" si="0"/>
        <v>208</v>
      </c>
    </row>
    <row r="33" spans="1:12" x14ac:dyDescent="0.15">
      <c r="A33" s="12" t="s">
        <v>19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35</v>
      </c>
      <c r="H33" s="12">
        <v>0</v>
      </c>
      <c r="I33" s="12">
        <v>0</v>
      </c>
      <c r="J33" s="12">
        <v>0</v>
      </c>
      <c r="K33" s="12">
        <v>0</v>
      </c>
      <c r="L33" s="12">
        <f t="shared" si="0"/>
        <v>35</v>
      </c>
    </row>
    <row r="34" spans="1:12" x14ac:dyDescent="0.15">
      <c r="A34" s="12" t="s">
        <v>20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49</v>
      </c>
      <c r="H34" s="12">
        <v>0</v>
      </c>
      <c r="I34" s="12">
        <v>0</v>
      </c>
      <c r="J34" s="12">
        <v>0</v>
      </c>
      <c r="K34" s="12">
        <v>0</v>
      </c>
      <c r="L34" s="12">
        <f t="shared" si="0"/>
        <v>49</v>
      </c>
    </row>
    <row r="35" spans="1:12" x14ac:dyDescent="0.15">
      <c r="A35" s="12" t="s">
        <v>21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16</v>
      </c>
      <c r="H35" s="12">
        <v>0</v>
      </c>
      <c r="I35" s="12">
        <v>0</v>
      </c>
      <c r="J35" s="12">
        <v>0</v>
      </c>
      <c r="K35" s="12">
        <v>0</v>
      </c>
      <c r="L35" s="12">
        <f t="shared" si="0"/>
        <v>16</v>
      </c>
    </row>
    <row r="36" spans="1:12" x14ac:dyDescent="0.15">
      <c r="A36" s="12" t="s">
        <v>22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7</v>
      </c>
      <c r="H36" s="12">
        <v>0</v>
      </c>
      <c r="I36" s="12">
        <v>0</v>
      </c>
      <c r="J36" s="12">
        <v>0</v>
      </c>
      <c r="K36" s="12">
        <v>0</v>
      </c>
      <c r="L36" s="12">
        <f t="shared" si="0"/>
        <v>7</v>
      </c>
    </row>
    <row r="37" spans="1:12" x14ac:dyDescent="0.15">
      <c r="A37" s="12" t="s">
        <v>23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f t="shared" si="0"/>
        <v>0</v>
      </c>
    </row>
    <row r="38" spans="1:12" x14ac:dyDescent="0.15">
      <c r="A38" s="14" t="s">
        <v>182</v>
      </c>
      <c r="B38" s="14">
        <f>SUM(B4:B37)</f>
        <v>119</v>
      </c>
      <c r="C38" s="14">
        <f t="shared" ref="C38:L38" si="1">SUM(C4:C37)</f>
        <v>0</v>
      </c>
      <c r="D38" s="14">
        <f t="shared" si="1"/>
        <v>103</v>
      </c>
      <c r="E38" s="14">
        <f t="shared" si="1"/>
        <v>30</v>
      </c>
      <c r="F38" s="14">
        <f t="shared" si="1"/>
        <v>347</v>
      </c>
      <c r="G38" s="14">
        <f t="shared" si="1"/>
        <v>8825</v>
      </c>
      <c r="H38" s="14">
        <f t="shared" si="1"/>
        <v>29</v>
      </c>
      <c r="I38" s="14">
        <f t="shared" si="1"/>
        <v>0</v>
      </c>
      <c r="J38" s="14">
        <f t="shared" si="1"/>
        <v>0</v>
      </c>
      <c r="K38" s="14">
        <f t="shared" si="1"/>
        <v>0</v>
      </c>
      <c r="L38" s="14">
        <f t="shared" si="1"/>
        <v>9453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="85" zoomScaleNormal="85" workbookViewId="0">
      <selection sqref="A1:L1"/>
    </sheetView>
  </sheetViews>
  <sheetFormatPr defaultRowHeight="13.5" x14ac:dyDescent="0.15"/>
  <sheetData>
    <row r="1" spans="1:12" ht="18.75" x14ac:dyDescent="0.25">
      <c r="A1" s="51" t="s">
        <v>189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x14ac:dyDescent="0.15">
      <c r="L2" s="16" t="s">
        <v>65</v>
      </c>
    </row>
    <row r="3" spans="1:12" ht="40.5" x14ac:dyDescent="0.15">
      <c r="A3" s="7" t="s">
        <v>24</v>
      </c>
      <c r="B3" s="7" t="s">
        <v>148</v>
      </c>
      <c r="C3" s="7" t="s">
        <v>147</v>
      </c>
      <c r="D3" s="7" t="s">
        <v>153</v>
      </c>
      <c r="E3" s="7" t="s">
        <v>46</v>
      </c>
      <c r="F3" s="7" t="s">
        <v>44</v>
      </c>
      <c r="G3" s="7" t="s">
        <v>40</v>
      </c>
      <c r="H3" s="7" t="s">
        <v>39</v>
      </c>
      <c r="I3" s="7" t="s">
        <v>149</v>
      </c>
      <c r="J3" s="7" t="s">
        <v>42</v>
      </c>
      <c r="K3" s="7" t="s">
        <v>186</v>
      </c>
      <c r="L3" s="7" t="s">
        <v>0</v>
      </c>
    </row>
    <row r="4" spans="1:12" x14ac:dyDescent="0.15">
      <c r="A4" s="12" t="s">
        <v>1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24</v>
      </c>
      <c r="H4" s="12">
        <v>0</v>
      </c>
      <c r="I4" s="12">
        <v>0</v>
      </c>
      <c r="J4" s="12">
        <v>0</v>
      </c>
      <c r="K4" s="12">
        <v>0</v>
      </c>
      <c r="L4" s="12">
        <f>SUM(B4:K4)</f>
        <v>24</v>
      </c>
    </row>
    <row r="5" spans="1:12" x14ac:dyDescent="0.15">
      <c r="A5" s="12" t="s">
        <v>2</v>
      </c>
      <c r="B5" s="12">
        <v>0</v>
      </c>
      <c r="C5" s="12">
        <v>0</v>
      </c>
      <c r="D5" s="12">
        <v>0</v>
      </c>
      <c r="E5" s="12">
        <v>0</v>
      </c>
      <c r="F5" s="12">
        <v>1</v>
      </c>
      <c r="G5" s="12">
        <v>28</v>
      </c>
      <c r="H5" s="12">
        <v>0</v>
      </c>
      <c r="I5" s="12">
        <v>0</v>
      </c>
      <c r="J5" s="12">
        <v>0</v>
      </c>
      <c r="K5" s="12">
        <v>0</v>
      </c>
      <c r="L5" s="12">
        <f t="shared" ref="L5:L28" si="0">SUM(B5:K5)</f>
        <v>29</v>
      </c>
    </row>
    <row r="6" spans="1:12" x14ac:dyDescent="0.15">
      <c r="A6" s="12" t="s">
        <v>3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9</v>
      </c>
      <c r="H6" s="12">
        <v>0</v>
      </c>
      <c r="I6" s="12">
        <v>0</v>
      </c>
      <c r="J6" s="12">
        <v>0</v>
      </c>
      <c r="K6" s="12">
        <v>0</v>
      </c>
      <c r="L6" s="12">
        <f t="shared" si="0"/>
        <v>9</v>
      </c>
    </row>
    <row r="7" spans="1:12" x14ac:dyDescent="0.15">
      <c r="A7" s="12" t="s">
        <v>4</v>
      </c>
      <c r="B7" s="12">
        <v>0</v>
      </c>
      <c r="C7" s="12">
        <v>0</v>
      </c>
      <c r="D7" s="12">
        <v>1</v>
      </c>
      <c r="E7" s="12">
        <v>0</v>
      </c>
      <c r="F7" s="12">
        <v>0</v>
      </c>
      <c r="G7" s="12">
        <v>33</v>
      </c>
      <c r="H7" s="12">
        <v>0</v>
      </c>
      <c r="I7" s="12">
        <v>0</v>
      </c>
      <c r="J7" s="12">
        <v>0</v>
      </c>
      <c r="K7" s="12">
        <v>0</v>
      </c>
      <c r="L7" s="12">
        <f t="shared" si="0"/>
        <v>34</v>
      </c>
    </row>
    <row r="8" spans="1:12" x14ac:dyDescent="0.15">
      <c r="A8" s="12" t="s">
        <v>70</v>
      </c>
      <c r="B8" s="12">
        <v>0</v>
      </c>
      <c r="C8" s="12">
        <v>0</v>
      </c>
      <c r="D8" s="12">
        <v>0</v>
      </c>
      <c r="E8" s="12">
        <v>0</v>
      </c>
      <c r="F8" s="12">
        <v>4</v>
      </c>
      <c r="G8" s="12">
        <v>35</v>
      </c>
      <c r="H8" s="12">
        <v>0</v>
      </c>
      <c r="I8" s="12">
        <v>0</v>
      </c>
      <c r="J8" s="12">
        <v>0</v>
      </c>
      <c r="K8" s="12">
        <v>0</v>
      </c>
      <c r="L8" s="12">
        <f t="shared" si="0"/>
        <v>39</v>
      </c>
    </row>
    <row r="9" spans="1:12" x14ac:dyDescent="0.15">
      <c r="A9" s="12" t="s">
        <v>5</v>
      </c>
      <c r="B9" s="12">
        <v>0</v>
      </c>
      <c r="C9" s="12">
        <v>0</v>
      </c>
      <c r="D9" s="12">
        <v>4</v>
      </c>
      <c r="E9" s="12">
        <v>0</v>
      </c>
      <c r="F9" s="12">
        <v>2</v>
      </c>
      <c r="G9" s="12">
        <v>25</v>
      </c>
      <c r="H9" s="12">
        <v>0</v>
      </c>
      <c r="I9" s="12">
        <v>0</v>
      </c>
      <c r="J9" s="12">
        <v>0</v>
      </c>
      <c r="K9" s="12">
        <v>2</v>
      </c>
      <c r="L9" s="12">
        <f t="shared" si="0"/>
        <v>33</v>
      </c>
    </row>
    <row r="10" spans="1:12" x14ac:dyDescent="0.15">
      <c r="A10" s="12" t="s">
        <v>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98</v>
      </c>
      <c r="H10" s="12">
        <v>0</v>
      </c>
      <c r="I10" s="12">
        <v>0</v>
      </c>
      <c r="J10" s="12">
        <v>0</v>
      </c>
      <c r="K10" s="12">
        <v>0</v>
      </c>
      <c r="L10" s="12">
        <f t="shared" si="0"/>
        <v>98</v>
      </c>
    </row>
    <row r="11" spans="1:12" x14ac:dyDescent="0.15">
      <c r="A11" s="12" t="s">
        <v>7</v>
      </c>
      <c r="B11" s="12">
        <v>0</v>
      </c>
      <c r="C11" s="12">
        <v>0</v>
      </c>
      <c r="D11" s="12">
        <v>0</v>
      </c>
      <c r="E11" s="12">
        <v>0</v>
      </c>
      <c r="F11" s="12">
        <v>3</v>
      </c>
      <c r="G11" s="12">
        <v>76</v>
      </c>
      <c r="H11" s="12">
        <v>0</v>
      </c>
      <c r="I11" s="12">
        <v>0</v>
      </c>
      <c r="J11" s="12">
        <v>0</v>
      </c>
      <c r="K11" s="12">
        <v>10</v>
      </c>
      <c r="L11" s="12">
        <f t="shared" si="0"/>
        <v>89</v>
      </c>
    </row>
    <row r="12" spans="1:12" x14ac:dyDescent="0.15">
      <c r="A12" s="12" t="s">
        <v>72</v>
      </c>
      <c r="B12" s="12">
        <v>0</v>
      </c>
      <c r="C12" s="12">
        <v>0</v>
      </c>
      <c r="D12" s="12">
        <v>0</v>
      </c>
      <c r="E12" s="12">
        <v>0</v>
      </c>
      <c r="F12" s="12">
        <v>14</v>
      </c>
      <c r="G12" s="12">
        <v>210</v>
      </c>
      <c r="H12" s="12">
        <v>0</v>
      </c>
      <c r="I12" s="12">
        <v>0</v>
      </c>
      <c r="J12" s="12">
        <v>0</v>
      </c>
      <c r="K12" s="12">
        <v>0</v>
      </c>
      <c r="L12" s="12">
        <f t="shared" si="0"/>
        <v>224</v>
      </c>
    </row>
    <row r="13" spans="1:12" x14ac:dyDescent="0.15">
      <c r="A13" s="12" t="s">
        <v>73</v>
      </c>
      <c r="B13" s="12">
        <v>0</v>
      </c>
      <c r="C13" s="12">
        <v>0</v>
      </c>
      <c r="D13" s="12">
        <v>0</v>
      </c>
      <c r="E13" s="12">
        <v>0</v>
      </c>
      <c r="F13" s="12">
        <v>30</v>
      </c>
      <c r="G13" s="12">
        <v>638</v>
      </c>
      <c r="H13" s="12">
        <v>0</v>
      </c>
      <c r="I13" s="12">
        <v>0</v>
      </c>
      <c r="J13" s="12">
        <v>0</v>
      </c>
      <c r="K13" s="12">
        <v>0</v>
      </c>
      <c r="L13" s="12">
        <f t="shared" si="0"/>
        <v>668</v>
      </c>
    </row>
    <row r="14" spans="1:12" x14ac:dyDescent="0.15">
      <c r="A14" s="12" t="s">
        <v>74</v>
      </c>
      <c r="B14" s="12">
        <v>0</v>
      </c>
      <c r="C14" s="12">
        <v>0</v>
      </c>
      <c r="D14" s="12">
        <v>0</v>
      </c>
      <c r="E14" s="12">
        <v>2</v>
      </c>
      <c r="F14" s="12">
        <v>56</v>
      </c>
      <c r="G14" s="12">
        <v>1226</v>
      </c>
      <c r="H14" s="12">
        <v>0</v>
      </c>
      <c r="I14" s="12">
        <v>0</v>
      </c>
      <c r="J14" s="12">
        <v>0</v>
      </c>
      <c r="K14" s="12">
        <v>0</v>
      </c>
      <c r="L14" s="12">
        <f t="shared" si="0"/>
        <v>1284</v>
      </c>
    </row>
    <row r="15" spans="1:12" x14ac:dyDescent="0.15">
      <c r="A15" s="12" t="s">
        <v>59</v>
      </c>
      <c r="B15" s="12">
        <v>0</v>
      </c>
      <c r="C15" s="12">
        <v>0</v>
      </c>
      <c r="D15" s="12">
        <v>0</v>
      </c>
      <c r="E15" s="12">
        <v>0</v>
      </c>
      <c r="F15" s="12">
        <v>3</v>
      </c>
      <c r="G15" s="12">
        <v>142</v>
      </c>
      <c r="H15" s="12">
        <v>3</v>
      </c>
      <c r="I15" s="12">
        <v>0</v>
      </c>
      <c r="J15" s="12">
        <v>0</v>
      </c>
      <c r="K15" s="12">
        <v>25</v>
      </c>
      <c r="L15" s="12">
        <f t="shared" si="0"/>
        <v>173</v>
      </c>
    </row>
    <row r="16" spans="1:12" x14ac:dyDescent="0.15">
      <c r="A16" s="12" t="s">
        <v>76</v>
      </c>
      <c r="B16" s="12">
        <v>22</v>
      </c>
      <c r="C16" s="12">
        <v>0</v>
      </c>
      <c r="D16" s="12">
        <v>10</v>
      </c>
      <c r="E16" s="12">
        <v>0</v>
      </c>
      <c r="F16" s="12">
        <v>26</v>
      </c>
      <c r="G16" s="12">
        <v>768</v>
      </c>
      <c r="H16" s="12">
        <v>0</v>
      </c>
      <c r="I16" s="12">
        <v>0</v>
      </c>
      <c r="J16" s="12">
        <v>0</v>
      </c>
      <c r="K16" s="12">
        <v>0</v>
      </c>
      <c r="L16" s="12">
        <f t="shared" si="0"/>
        <v>826</v>
      </c>
    </row>
    <row r="17" spans="1:12" x14ac:dyDescent="0.15">
      <c r="A17" s="12" t="s">
        <v>60</v>
      </c>
      <c r="B17" s="12">
        <v>18</v>
      </c>
      <c r="C17" s="12">
        <v>0</v>
      </c>
      <c r="D17" s="12">
        <v>21</v>
      </c>
      <c r="E17" s="12">
        <v>0</v>
      </c>
      <c r="F17" s="12">
        <v>29</v>
      </c>
      <c r="G17" s="12">
        <v>459</v>
      </c>
      <c r="H17" s="12">
        <v>0</v>
      </c>
      <c r="I17" s="12">
        <v>0</v>
      </c>
      <c r="J17" s="12">
        <v>0</v>
      </c>
      <c r="K17" s="12">
        <v>0</v>
      </c>
      <c r="L17" s="12">
        <f t="shared" si="0"/>
        <v>527</v>
      </c>
    </row>
    <row r="18" spans="1:12" x14ac:dyDescent="0.15">
      <c r="A18" s="12" t="s">
        <v>61</v>
      </c>
      <c r="B18" s="12">
        <v>28</v>
      </c>
      <c r="C18" s="12">
        <v>0</v>
      </c>
      <c r="D18" s="12">
        <v>14</v>
      </c>
      <c r="E18" s="12">
        <v>14</v>
      </c>
      <c r="F18" s="12">
        <v>36</v>
      </c>
      <c r="G18" s="12">
        <v>822</v>
      </c>
      <c r="H18" s="12">
        <v>0</v>
      </c>
      <c r="I18" s="12">
        <v>0</v>
      </c>
      <c r="J18" s="12">
        <v>0</v>
      </c>
      <c r="K18" s="12">
        <v>0</v>
      </c>
      <c r="L18" s="12">
        <f t="shared" si="0"/>
        <v>914</v>
      </c>
    </row>
    <row r="19" spans="1:12" x14ac:dyDescent="0.15">
      <c r="A19" s="12" t="s">
        <v>62</v>
      </c>
      <c r="B19" s="12">
        <v>7</v>
      </c>
      <c r="C19" s="12">
        <v>0</v>
      </c>
      <c r="D19" s="12">
        <v>1</v>
      </c>
      <c r="E19" s="12">
        <v>5</v>
      </c>
      <c r="F19" s="12">
        <v>19</v>
      </c>
      <c r="G19" s="12">
        <v>249</v>
      </c>
      <c r="H19" s="12">
        <v>4</v>
      </c>
      <c r="I19" s="12">
        <v>0</v>
      </c>
      <c r="J19" s="12">
        <v>0</v>
      </c>
      <c r="K19" s="12">
        <v>115</v>
      </c>
      <c r="L19" s="12">
        <f t="shared" si="0"/>
        <v>400</v>
      </c>
    </row>
    <row r="20" spans="1:12" x14ac:dyDescent="0.15">
      <c r="A20" s="12" t="s">
        <v>8</v>
      </c>
      <c r="B20" s="12">
        <v>5</v>
      </c>
      <c r="C20" s="12">
        <v>0</v>
      </c>
      <c r="D20" s="12">
        <v>5</v>
      </c>
      <c r="E20" s="12">
        <v>3</v>
      </c>
      <c r="F20" s="12">
        <v>27</v>
      </c>
      <c r="G20" s="12">
        <v>416</v>
      </c>
      <c r="H20" s="12">
        <v>3</v>
      </c>
      <c r="I20" s="12">
        <v>0</v>
      </c>
      <c r="J20" s="12">
        <v>0</v>
      </c>
      <c r="K20" s="12">
        <v>139</v>
      </c>
      <c r="L20" s="12">
        <f t="shared" si="0"/>
        <v>598</v>
      </c>
    </row>
    <row r="21" spans="1:12" x14ac:dyDescent="0.15">
      <c r="A21" s="12" t="s">
        <v>9</v>
      </c>
      <c r="B21" s="12">
        <v>15</v>
      </c>
      <c r="C21" s="12">
        <v>0</v>
      </c>
      <c r="D21" s="12">
        <v>6</v>
      </c>
      <c r="E21" s="12">
        <v>1</v>
      </c>
      <c r="F21" s="12">
        <v>23</v>
      </c>
      <c r="G21" s="12">
        <v>350</v>
      </c>
      <c r="H21" s="12">
        <v>0</v>
      </c>
      <c r="I21" s="12">
        <v>0</v>
      </c>
      <c r="J21" s="12">
        <v>0</v>
      </c>
      <c r="K21" s="12">
        <v>113</v>
      </c>
      <c r="L21" s="12">
        <f t="shared" si="0"/>
        <v>508</v>
      </c>
    </row>
    <row r="22" spans="1:12" x14ac:dyDescent="0.15">
      <c r="A22" s="12" t="s">
        <v>10</v>
      </c>
      <c r="B22" s="12">
        <v>16</v>
      </c>
      <c r="C22" s="12">
        <v>0</v>
      </c>
      <c r="D22" s="12">
        <v>0</v>
      </c>
      <c r="E22" s="12">
        <v>0</v>
      </c>
      <c r="F22" s="12">
        <v>22</v>
      </c>
      <c r="G22" s="12">
        <v>188</v>
      </c>
      <c r="H22" s="12">
        <v>0</v>
      </c>
      <c r="I22" s="12">
        <v>0</v>
      </c>
      <c r="J22" s="12">
        <v>0</v>
      </c>
      <c r="K22" s="12">
        <v>130</v>
      </c>
      <c r="L22" s="12">
        <f t="shared" si="0"/>
        <v>356</v>
      </c>
    </row>
    <row r="23" spans="1:12" x14ac:dyDescent="0.15">
      <c r="A23" s="12" t="s">
        <v>11</v>
      </c>
      <c r="B23" s="12">
        <v>15</v>
      </c>
      <c r="C23" s="12">
        <v>0</v>
      </c>
      <c r="D23" s="12">
        <v>5</v>
      </c>
      <c r="E23" s="12">
        <v>1</v>
      </c>
      <c r="F23" s="12">
        <v>16</v>
      </c>
      <c r="G23" s="12">
        <v>300</v>
      </c>
      <c r="H23" s="12">
        <v>0</v>
      </c>
      <c r="I23" s="12">
        <v>0</v>
      </c>
      <c r="J23" s="12">
        <v>0</v>
      </c>
      <c r="K23" s="12">
        <v>47</v>
      </c>
      <c r="L23" s="12">
        <f t="shared" si="0"/>
        <v>384</v>
      </c>
    </row>
    <row r="24" spans="1:12" x14ac:dyDescent="0.15">
      <c r="A24" s="12" t="s">
        <v>12</v>
      </c>
      <c r="B24" s="12">
        <v>22</v>
      </c>
      <c r="C24" s="12">
        <v>0</v>
      </c>
      <c r="D24" s="12">
        <v>3</v>
      </c>
      <c r="E24" s="12">
        <v>0</v>
      </c>
      <c r="F24" s="12">
        <v>23</v>
      </c>
      <c r="G24" s="12">
        <v>361</v>
      </c>
      <c r="H24" s="12">
        <v>0</v>
      </c>
      <c r="I24" s="12">
        <v>0</v>
      </c>
      <c r="J24" s="12">
        <v>0</v>
      </c>
      <c r="K24" s="12">
        <v>43</v>
      </c>
      <c r="L24" s="12">
        <f t="shared" si="0"/>
        <v>452</v>
      </c>
    </row>
    <row r="25" spans="1:12" x14ac:dyDescent="0.15">
      <c r="A25" s="12" t="s">
        <v>13</v>
      </c>
      <c r="B25" s="12">
        <v>10</v>
      </c>
      <c r="C25" s="12">
        <v>0</v>
      </c>
      <c r="D25" s="12">
        <v>2</v>
      </c>
      <c r="E25" s="12">
        <v>3</v>
      </c>
      <c r="F25" s="12">
        <v>3</v>
      </c>
      <c r="G25" s="12">
        <v>176</v>
      </c>
      <c r="H25" s="12">
        <v>0</v>
      </c>
      <c r="I25" s="12">
        <v>0</v>
      </c>
      <c r="J25" s="12">
        <v>0</v>
      </c>
      <c r="K25" s="12">
        <v>16</v>
      </c>
      <c r="L25" s="12">
        <f t="shared" si="0"/>
        <v>210</v>
      </c>
    </row>
    <row r="26" spans="1:12" x14ac:dyDescent="0.15">
      <c r="A26" s="12" t="s">
        <v>14</v>
      </c>
      <c r="B26" s="12">
        <v>6</v>
      </c>
      <c r="C26" s="12">
        <v>310</v>
      </c>
      <c r="D26" s="12">
        <v>13</v>
      </c>
      <c r="E26" s="12">
        <v>2</v>
      </c>
      <c r="F26" s="12">
        <v>10</v>
      </c>
      <c r="G26" s="12">
        <v>0</v>
      </c>
      <c r="H26" s="12">
        <v>0</v>
      </c>
      <c r="I26" s="12">
        <v>0</v>
      </c>
      <c r="J26" s="12">
        <v>0</v>
      </c>
      <c r="K26" s="12">
        <v>77</v>
      </c>
      <c r="L26" s="12">
        <f t="shared" si="0"/>
        <v>418</v>
      </c>
    </row>
    <row r="27" spans="1:12" x14ac:dyDescent="0.15">
      <c r="A27" s="12" t="s">
        <v>15</v>
      </c>
      <c r="B27" s="12">
        <v>1</v>
      </c>
      <c r="C27" s="12">
        <v>0</v>
      </c>
      <c r="D27" s="12">
        <v>3</v>
      </c>
      <c r="E27" s="12">
        <v>2</v>
      </c>
      <c r="F27" s="12">
        <v>4</v>
      </c>
      <c r="G27" s="12">
        <v>281</v>
      </c>
      <c r="H27" s="12">
        <v>4</v>
      </c>
      <c r="I27" s="12">
        <v>0</v>
      </c>
      <c r="J27" s="12">
        <v>0</v>
      </c>
      <c r="K27" s="12">
        <v>23</v>
      </c>
      <c r="L27" s="12">
        <f t="shared" si="0"/>
        <v>318</v>
      </c>
    </row>
    <row r="28" spans="1:12" x14ac:dyDescent="0.15">
      <c r="A28" s="12" t="s">
        <v>113</v>
      </c>
      <c r="B28" s="12">
        <v>7</v>
      </c>
      <c r="C28" s="12">
        <v>0</v>
      </c>
      <c r="D28" s="12">
        <v>3</v>
      </c>
      <c r="E28" s="12">
        <v>2</v>
      </c>
      <c r="F28" s="12">
        <v>17</v>
      </c>
      <c r="G28" s="12">
        <v>225</v>
      </c>
      <c r="H28" s="12">
        <v>0</v>
      </c>
      <c r="I28" s="12">
        <v>0</v>
      </c>
      <c r="J28" s="12">
        <v>0</v>
      </c>
      <c r="K28" s="12">
        <v>42</v>
      </c>
      <c r="L28" s="12">
        <f t="shared" si="0"/>
        <v>296</v>
      </c>
    </row>
    <row r="29" spans="1:12" x14ac:dyDescent="0.15">
      <c r="A29" s="14" t="s">
        <v>182</v>
      </c>
      <c r="B29" s="14">
        <f>SUM(B4:B28)</f>
        <v>172</v>
      </c>
      <c r="C29" s="14">
        <f t="shared" ref="C29:L29" si="1">SUM(C4:C28)</f>
        <v>310</v>
      </c>
      <c r="D29" s="14">
        <f t="shared" si="1"/>
        <v>91</v>
      </c>
      <c r="E29" s="14">
        <f t="shared" si="1"/>
        <v>35</v>
      </c>
      <c r="F29" s="14">
        <f t="shared" si="1"/>
        <v>368</v>
      </c>
      <c r="G29" s="14">
        <f t="shared" si="1"/>
        <v>7139</v>
      </c>
      <c r="H29" s="14">
        <f t="shared" si="1"/>
        <v>14</v>
      </c>
      <c r="I29" s="14">
        <f t="shared" si="1"/>
        <v>0</v>
      </c>
      <c r="J29" s="14">
        <f t="shared" si="1"/>
        <v>0</v>
      </c>
      <c r="K29" s="14">
        <f t="shared" si="1"/>
        <v>782</v>
      </c>
      <c r="L29" s="14">
        <f t="shared" si="1"/>
        <v>8911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zoomScale="85" zoomScaleNormal="85" workbookViewId="0">
      <selection sqref="A1:L1"/>
    </sheetView>
  </sheetViews>
  <sheetFormatPr defaultRowHeight="13.5" x14ac:dyDescent="0.15"/>
  <cols>
    <col min="2" max="6" width="9" bestFit="1" customWidth="1"/>
    <col min="7" max="7" width="9.109375" bestFit="1" customWidth="1"/>
    <col min="8" max="11" width="9" bestFit="1" customWidth="1"/>
    <col min="12" max="12" width="9.109375" bestFit="1" customWidth="1"/>
  </cols>
  <sheetData>
    <row r="1" spans="1:12" ht="18.75" x14ac:dyDescent="0.25">
      <c r="A1" s="51" t="s">
        <v>190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x14ac:dyDescent="0.15">
      <c r="L2" s="16" t="s">
        <v>65</v>
      </c>
    </row>
    <row r="3" spans="1:12" ht="40.5" x14ac:dyDescent="0.15">
      <c r="A3" s="7" t="s">
        <v>24</v>
      </c>
      <c r="B3" s="7" t="s">
        <v>148</v>
      </c>
      <c r="C3" s="7" t="s">
        <v>147</v>
      </c>
      <c r="D3" s="7" t="s">
        <v>153</v>
      </c>
      <c r="E3" s="7" t="s">
        <v>46</v>
      </c>
      <c r="F3" s="7" t="s">
        <v>44</v>
      </c>
      <c r="G3" s="7" t="s">
        <v>40</v>
      </c>
      <c r="H3" s="7" t="s">
        <v>39</v>
      </c>
      <c r="I3" s="7" t="s">
        <v>149</v>
      </c>
      <c r="J3" s="7" t="s">
        <v>42</v>
      </c>
      <c r="K3" s="7" t="s">
        <v>186</v>
      </c>
      <c r="L3" s="7" t="s">
        <v>0</v>
      </c>
    </row>
    <row r="4" spans="1:12" x14ac:dyDescent="0.15">
      <c r="A4" s="12" t="s">
        <v>1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15</v>
      </c>
      <c r="H4" s="12">
        <v>0</v>
      </c>
      <c r="I4" s="12">
        <v>0</v>
      </c>
      <c r="J4" s="12">
        <v>0</v>
      </c>
      <c r="K4" s="12">
        <v>0</v>
      </c>
      <c r="L4" s="12">
        <f>SUM(B4:K4)</f>
        <v>15</v>
      </c>
    </row>
    <row r="5" spans="1:12" x14ac:dyDescent="0.15">
      <c r="A5" s="12" t="s">
        <v>2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20</v>
      </c>
      <c r="H5" s="12">
        <v>0</v>
      </c>
      <c r="I5" s="12">
        <v>0</v>
      </c>
      <c r="J5" s="12">
        <v>0</v>
      </c>
      <c r="K5" s="12">
        <v>0</v>
      </c>
      <c r="L5" s="12">
        <f t="shared" ref="L5:L35" si="0">SUM(B5:K5)</f>
        <v>20</v>
      </c>
    </row>
    <row r="6" spans="1:12" x14ac:dyDescent="0.15">
      <c r="A6" s="12" t="s">
        <v>3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34</v>
      </c>
      <c r="H6" s="12">
        <v>0</v>
      </c>
      <c r="I6" s="12">
        <v>0</v>
      </c>
      <c r="J6" s="12">
        <v>0</v>
      </c>
      <c r="K6" s="12">
        <v>0</v>
      </c>
      <c r="L6" s="12">
        <f t="shared" si="0"/>
        <v>34</v>
      </c>
    </row>
    <row r="7" spans="1:12" x14ac:dyDescent="0.15">
      <c r="A7" s="12" t="s">
        <v>70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14</v>
      </c>
      <c r="H7" s="12">
        <v>0</v>
      </c>
      <c r="I7" s="12">
        <v>0</v>
      </c>
      <c r="J7" s="12">
        <v>0</v>
      </c>
      <c r="K7" s="12">
        <v>0</v>
      </c>
      <c r="L7" s="12">
        <f t="shared" si="0"/>
        <v>14</v>
      </c>
    </row>
    <row r="8" spans="1:12" x14ac:dyDescent="0.15">
      <c r="A8" s="12" t="s">
        <v>5</v>
      </c>
      <c r="B8" s="12">
        <v>0</v>
      </c>
      <c r="C8" s="12">
        <v>0</v>
      </c>
      <c r="D8" s="12">
        <v>1</v>
      </c>
      <c r="E8" s="12">
        <v>1</v>
      </c>
      <c r="F8" s="12">
        <v>0</v>
      </c>
      <c r="G8" s="12">
        <v>37</v>
      </c>
      <c r="H8" s="12">
        <v>0</v>
      </c>
      <c r="I8" s="12">
        <v>0</v>
      </c>
      <c r="J8" s="12">
        <v>0</v>
      </c>
      <c r="K8" s="12">
        <v>1</v>
      </c>
      <c r="L8" s="12">
        <f t="shared" si="0"/>
        <v>40</v>
      </c>
    </row>
    <row r="9" spans="1:12" x14ac:dyDescent="0.15">
      <c r="A9" s="12" t="s">
        <v>6</v>
      </c>
      <c r="B9" s="12">
        <v>0</v>
      </c>
      <c r="C9" s="12">
        <v>0</v>
      </c>
      <c r="D9" s="12">
        <v>0</v>
      </c>
      <c r="E9" s="12">
        <v>1</v>
      </c>
      <c r="F9" s="12">
        <v>0</v>
      </c>
      <c r="G9" s="12">
        <v>12</v>
      </c>
      <c r="H9" s="12">
        <v>0</v>
      </c>
      <c r="I9" s="12">
        <v>0</v>
      </c>
      <c r="J9" s="12">
        <v>0</v>
      </c>
      <c r="K9" s="12">
        <v>0</v>
      </c>
      <c r="L9" s="12">
        <f t="shared" si="0"/>
        <v>13</v>
      </c>
    </row>
    <row r="10" spans="1:12" x14ac:dyDescent="0.15">
      <c r="A10" s="12" t="s">
        <v>7</v>
      </c>
      <c r="B10" s="12">
        <v>0</v>
      </c>
      <c r="C10" s="12">
        <v>0</v>
      </c>
      <c r="D10" s="12">
        <v>0</v>
      </c>
      <c r="E10" s="12">
        <v>0</v>
      </c>
      <c r="F10" s="12">
        <v>1</v>
      </c>
      <c r="G10" s="12">
        <v>28</v>
      </c>
      <c r="H10" s="12">
        <v>0</v>
      </c>
      <c r="I10" s="12">
        <v>0</v>
      </c>
      <c r="J10" s="12">
        <v>0</v>
      </c>
      <c r="K10" s="12">
        <v>4</v>
      </c>
      <c r="L10" s="12">
        <f t="shared" si="0"/>
        <v>33</v>
      </c>
    </row>
    <row r="11" spans="1:12" x14ac:dyDescent="0.15">
      <c r="A11" s="12" t="s">
        <v>58</v>
      </c>
      <c r="B11" s="12">
        <v>0</v>
      </c>
      <c r="C11" s="12">
        <v>0</v>
      </c>
      <c r="D11" s="12">
        <v>1</v>
      </c>
      <c r="E11" s="12">
        <v>4</v>
      </c>
      <c r="F11" s="12">
        <v>0</v>
      </c>
      <c r="G11" s="12">
        <v>57</v>
      </c>
      <c r="H11" s="12">
        <v>0</v>
      </c>
      <c r="I11" s="12">
        <v>0</v>
      </c>
      <c r="J11" s="12">
        <v>0</v>
      </c>
      <c r="K11" s="12">
        <v>14</v>
      </c>
      <c r="L11" s="12">
        <f t="shared" si="0"/>
        <v>76</v>
      </c>
    </row>
    <row r="12" spans="1:12" x14ac:dyDescent="0.15">
      <c r="A12" s="12" t="s">
        <v>85</v>
      </c>
      <c r="B12" s="12">
        <v>36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11</v>
      </c>
      <c r="L12" s="12">
        <f t="shared" si="0"/>
        <v>47</v>
      </c>
    </row>
    <row r="13" spans="1:12" x14ac:dyDescent="0.15">
      <c r="A13" s="12" t="s">
        <v>49</v>
      </c>
      <c r="B13" s="12">
        <v>0</v>
      </c>
      <c r="C13" s="12">
        <v>0</v>
      </c>
      <c r="D13" s="12">
        <v>0</v>
      </c>
      <c r="E13" s="12">
        <v>0</v>
      </c>
      <c r="F13" s="12">
        <v>5</v>
      </c>
      <c r="G13" s="12">
        <v>114</v>
      </c>
      <c r="H13" s="12">
        <v>0</v>
      </c>
      <c r="I13" s="12">
        <v>0</v>
      </c>
      <c r="J13" s="12">
        <v>0</v>
      </c>
      <c r="K13" s="12">
        <v>14</v>
      </c>
      <c r="L13" s="12">
        <f t="shared" si="0"/>
        <v>133</v>
      </c>
    </row>
    <row r="14" spans="1:12" x14ac:dyDescent="0.15">
      <c r="A14" s="12" t="s">
        <v>86</v>
      </c>
      <c r="B14" s="12">
        <v>0</v>
      </c>
      <c r="C14" s="12">
        <v>0</v>
      </c>
      <c r="D14" s="12">
        <v>0</v>
      </c>
      <c r="E14" s="12">
        <v>1</v>
      </c>
      <c r="F14" s="12">
        <v>7</v>
      </c>
      <c r="G14" s="12">
        <v>287</v>
      </c>
      <c r="H14" s="12">
        <v>0</v>
      </c>
      <c r="I14" s="12">
        <v>0</v>
      </c>
      <c r="J14" s="12">
        <v>0</v>
      </c>
      <c r="K14" s="12">
        <v>111</v>
      </c>
      <c r="L14" s="12">
        <f t="shared" si="0"/>
        <v>406</v>
      </c>
    </row>
    <row r="15" spans="1:12" x14ac:dyDescent="0.15">
      <c r="A15" s="12" t="s">
        <v>87</v>
      </c>
      <c r="B15" s="12">
        <v>14</v>
      </c>
      <c r="C15" s="12">
        <v>0</v>
      </c>
      <c r="D15" s="12">
        <v>1</v>
      </c>
      <c r="E15" s="12">
        <v>10</v>
      </c>
      <c r="F15" s="12">
        <v>30</v>
      </c>
      <c r="G15" s="12">
        <v>363</v>
      </c>
      <c r="H15" s="12">
        <v>0</v>
      </c>
      <c r="I15" s="12">
        <v>0</v>
      </c>
      <c r="J15" s="12">
        <v>0</v>
      </c>
      <c r="K15" s="12">
        <v>87</v>
      </c>
      <c r="L15" s="12">
        <f t="shared" si="0"/>
        <v>505</v>
      </c>
    </row>
    <row r="16" spans="1:12" x14ac:dyDescent="0.15">
      <c r="A16" s="12" t="s">
        <v>92</v>
      </c>
      <c r="B16" s="12">
        <v>81</v>
      </c>
      <c r="C16" s="12">
        <v>0</v>
      </c>
      <c r="D16" s="12">
        <v>3</v>
      </c>
      <c r="E16" s="12">
        <v>21</v>
      </c>
      <c r="F16" s="12">
        <v>58</v>
      </c>
      <c r="G16" s="12">
        <v>444</v>
      </c>
      <c r="H16" s="12">
        <v>3</v>
      </c>
      <c r="I16" s="12">
        <v>0</v>
      </c>
      <c r="J16" s="12">
        <v>0</v>
      </c>
      <c r="K16" s="12">
        <v>237</v>
      </c>
      <c r="L16" s="12">
        <f t="shared" si="0"/>
        <v>847</v>
      </c>
    </row>
    <row r="17" spans="1:12" x14ac:dyDescent="0.15">
      <c r="A17" s="12" t="s">
        <v>60</v>
      </c>
      <c r="B17" s="12">
        <v>64</v>
      </c>
      <c r="C17" s="12">
        <v>0</v>
      </c>
      <c r="D17" s="12">
        <v>13</v>
      </c>
      <c r="E17" s="12">
        <v>2</v>
      </c>
      <c r="F17" s="12">
        <v>52</v>
      </c>
      <c r="G17" s="12">
        <v>983</v>
      </c>
      <c r="H17" s="12">
        <v>0</v>
      </c>
      <c r="I17" s="12">
        <v>0</v>
      </c>
      <c r="J17" s="12">
        <v>0</v>
      </c>
      <c r="K17" s="12">
        <v>419</v>
      </c>
      <c r="L17" s="12">
        <f t="shared" si="0"/>
        <v>1533</v>
      </c>
    </row>
    <row r="18" spans="1:12" x14ac:dyDescent="0.15">
      <c r="A18" s="12" t="s">
        <v>61</v>
      </c>
      <c r="B18" s="12">
        <v>19</v>
      </c>
      <c r="C18" s="12">
        <v>0</v>
      </c>
      <c r="D18" s="12">
        <v>0</v>
      </c>
      <c r="E18" s="12">
        <v>6</v>
      </c>
      <c r="F18" s="12">
        <v>33</v>
      </c>
      <c r="G18" s="12">
        <v>653</v>
      </c>
      <c r="H18" s="12">
        <v>2</v>
      </c>
      <c r="I18" s="12">
        <v>0</v>
      </c>
      <c r="J18" s="12">
        <v>0</v>
      </c>
      <c r="K18" s="12">
        <v>307</v>
      </c>
      <c r="L18" s="12">
        <f t="shared" si="0"/>
        <v>1020</v>
      </c>
    </row>
    <row r="19" spans="1:12" x14ac:dyDescent="0.15">
      <c r="A19" s="12" t="s">
        <v>62</v>
      </c>
      <c r="B19" s="12">
        <v>22</v>
      </c>
      <c r="C19" s="12">
        <v>0</v>
      </c>
      <c r="D19" s="12">
        <v>1</v>
      </c>
      <c r="E19" s="12">
        <v>3</v>
      </c>
      <c r="F19" s="12">
        <v>50</v>
      </c>
      <c r="G19" s="12">
        <v>825</v>
      </c>
      <c r="H19" s="12">
        <v>2</v>
      </c>
      <c r="I19" s="12">
        <v>0</v>
      </c>
      <c r="J19" s="12">
        <v>0</v>
      </c>
      <c r="K19" s="12">
        <v>388</v>
      </c>
      <c r="L19" s="12">
        <f t="shared" si="0"/>
        <v>1291</v>
      </c>
    </row>
    <row r="20" spans="1:12" x14ac:dyDescent="0.15">
      <c r="A20" s="12" t="s">
        <v>63</v>
      </c>
      <c r="B20" s="12">
        <v>20</v>
      </c>
      <c r="C20" s="12">
        <v>0</v>
      </c>
      <c r="D20" s="12">
        <v>17</v>
      </c>
      <c r="E20" s="12">
        <v>6</v>
      </c>
      <c r="F20" s="12">
        <v>39</v>
      </c>
      <c r="G20" s="12">
        <v>368</v>
      </c>
      <c r="H20" s="12">
        <v>1</v>
      </c>
      <c r="I20" s="12">
        <v>0</v>
      </c>
      <c r="J20" s="12">
        <v>0</v>
      </c>
      <c r="K20" s="12">
        <v>404</v>
      </c>
      <c r="L20" s="12">
        <f t="shared" si="0"/>
        <v>855</v>
      </c>
    </row>
    <row r="21" spans="1:12" x14ac:dyDescent="0.15">
      <c r="A21" s="12" t="s">
        <v>8</v>
      </c>
      <c r="B21" s="12">
        <v>16</v>
      </c>
      <c r="C21" s="12">
        <v>0</v>
      </c>
      <c r="D21" s="12">
        <v>13</v>
      </c>
      <c r="E21" s="12">
        <v>17</v>
      </c>
      <c r="F21" s="12">
        <v>58</v>
      </c>
      <c r="G21" s="12">
        <v>517</v>
      </c>
      <c r="H21" s="12">
        <v>11</v>
      </c>
      <c r="I21" s="12">
        <v>0</v>
      </c>
      <c r="J21" s="12">
        <v>0</v>
      </c>
      <c r="K21" s="12">
        <v>458</v>
      </c>
      <c r="L21" s="12">
        <f t="shared" si="0"/>
        <v>1090</v>
      </c>
    </row>
    <row r="22" spans="1:12" x14ac:dyDescent="0.15">
      <c r="A22" s="12" t="s">
        <v>9</v>
      </c>
      <c r="B22" s="12">
        <v>5</v>
      </c>
      <c r="C22" s="12">
        <v>0</v>
      </c>
      <c r="D22" s="12">
        <v>4</v>
      </c>
      <c r="E22" s="12">
        <v>3</v>
      </c>
      <c r="F22" s="12">
        <v>27</v>
      </c>
      <c r="G22" s="12">
        <v>371</v>
      </c>
      <c r="H22" s="12">
        <v>1</v>
      </c>
      <c r="I22" s="12">
        <v>0</v>
      </c>
      <c r="J22" s="12">
        <v>0</v>
      </c>
      <c r="K22" s="12">
        <v>271</v>
      </c>
      <c r="L22" s="12">
        <f t="shared" si="0"/>
        <v>682</v>
      </c>
    </row>
    <row r="23" spans="1:12" x14ac:dyDescent="0.15">
      <c r="A23" s="12" t="s">
        <v>10</v>
      </c>
      <c r="B23" s="12">
        <v>9</v>
      </c>
      <c r="C23" s="12">
        <v>1</v>
      </c>
      <c r="D23" s="12">
        <v>8</v>
      </c>
      <c r="E23" s="12">
        <v>0</v>
      </c>
      <c r="F23" s="12">
        <v>34</v>
      </c>
      <c r="G23" s="12">
        <v>380</v>
      </c>
      <c r="H23" s="12">
        <v>1</v>
      </c>
      <c r="I23" s="12">
        <v>0</v>
      </c>
      <c r="J23" s="12">
        <v>0</v>
      </c>
      <c r="K23" s="12">
        <v>90</v>
      </c>
      <c r="L23" s="12">
        <f t="shared" si="0"/>
        <v>523</v>
      </c>
    </row>
    <row r="24" spans="1:12" x14ac:dyDescent="0.15">
      <c r="A24" s="12" t="s">
        <v>11</v>
      </c>
      <c r="B24" s="12">
        <v>25</v>
      </c>
      <c r="C24" s="12">
        <v>0</v>
      </c>
      <c r="D24" s="12">
        <v>5</v>
      </c>
      <c r="E24" s="12">
        <v>4</v>
      </c>
      <c r="F24" s="12">
        <v>20</v>
      </c>
      <c r="G24" s="12">
        <v>347</v>
      </c>
      <c r="H24" s="12">
        <v>1</v>
      </c>
      <c r="I24" s="12">
        <v>0</v>
      </c>
      <c r="J24" s="12">
        <v>0</v>
      </c>
      <c r="K24" s="12">
        <v>204</v>
      </c>
      <c r="L24" s="12">
        <f t="shared" si="0"/>
        <v>606</v>
      </c>
    </row>
    <row r="25" spans="1:12" x14ac:dyDescent="0.15">
      <c r="A25" s="12" t="s">
        <v>12</v>
      </c>
      <c r="B25" s="12">
        <v>5</v>
      </c>
      <c r="C25" s="12">
        <v>0</v>
      </c>
      <c r="D25" s="12">
        <v>1</v>
      </c>
      <c r="E25" s="12">
        <v>6</v>
      </c>
      <c r="F25" s="12">
        <v>9</v>
      </c>
      <c r="G25" s="12">
        <v>255</v>
      </c>
      <c r="H25" s="12">
        <v>1</v>
      </c>
      <c r="I25" s="12">
        <v>0</v>
      </c>
      <c r="J25" s="12">
        <v>0</v>
      </c>
      <c r="K25" s="12">
        <v>99</v>
      </c>
      <c r="L25" s="12">
        <f t="shared" si="0"/>
        <v>376</v>
      </c>
    </row>
    <row r="26" spans="1:12" x14ac:dyDescent="0.15">
      <c r="A26" s="12" t="s">
        <v>13</v>
      </c>
      <c r="B26" s="12">
        <v>11</v>
      </c>
      <c r="C26" s="12">
        <v>0</v>
      </c>
      <c r="D26" s="12">
        <v>7</v>
      </c>
      <c r="E26" s="12">
        <v>0</v>
      </c>
      <c r="F26" s="12">
        <v>41</v>
      </c>
      <c r="G26" s="12">
        <v>355</v>
      </c>
      <c r="H26" s="12">
        <v>1</v>
      </c>
      <c r="I26" s="12">
        <v>0</v>
      </c>
      <c r="J26" s="12">
        <v>0</v>
      </c>
      <c r="K26" s="12">
        <v>265</v>
      </c>
      <c r="L26" s="12">
        <f t="shared" si="0"/>
        <v>680</v>
      </c>
    </row>
    <row r="27" spans="1:12" x14ac:dyDescent="0.15">
      <c r="A27" s="12" t="s">
        <v>14</v>
      </c>
      <c r="B27" s="12">
        <v>4</v>
      </c>
      <c r="C27" s="12">
        <v>2</v>
      </c>
      <c r="D27" s="12">
        <v>0</v>
      </c>
      <c r="E27" s="12">
        <v>3</v>
      </c>
      <c r="F27" s="12">
        <v>20</v>
      </c>
      <c r="G27" s="12">
        <v>551</v>
      </c>
      <c r="H27" s="12">
        <v>2</v>
      </c>
      <c r="I27" s="12">
        <v>0</v>
      </c>
      <c r="J27" s="12">
        <v>0</v>
      </c>
      <c r="K27" s="12">
        <v>278</v>
      </c>
      <c r="L27" s="12">
        <f t="shared" si="0"/>
        <v>860</v>
      </c>
    </row>
    <row r="28" spans="1:12" x14ac:dyDescent="0.15">
      <c r="A28" s="12" t="s">
        <v>15</v>
      </c>
      <c r="B28" s="12">
        <v>5</v>
      </c>
      <c r="C28" s="12">
        <v>5</v>
      </c>
      <c r="D28" s="12">
        <v>0</v>
      </c>
      <c r="E28" s="12">
        <v>2</v>
      </c>
      <c r="F28" s="12">
        <v>43</v>
      </c>
      <c r="G28" s="12">
        <v>339</v>
      </c>
      <c r="H28" s="12">
        <v>3</v>
      </c>
      <c r="I28" s="12">
        <v>0</v>
      </c>
      <c r="J28" s="12">
        <v>0</v>
      </c>
      <c r="K28" s="12">
        <v>154</v>
      </c>
      <c r="L28" s="12">
        <f t="shared" si="0"/>
        <v>551</v>
      </c>
    </row>
    <row r="29" spans="1:12" x14ac:dyDescent="0.15">
      <c r="A29" s="12" t="s">
        <v>113</v>
      </c>
      <c r="B29" s="12">
        <v>3</v>
      </c>
      <c r="C29" s="12">
        <v>0</v>
      </c>
      <c r="D29" s="12">
        <v>1</v>
      </c>
      <c r="E29" s="12">
        <v>10</v>
      </c>
      <c r="F29" s="12">
        <v>20</v>
      </c>
      <c r="G29" s="12">
        <v>601</v>
      </c>
      <c r="H29" s="12">
        <v>6</v>
      </c>
      <c r="I29" s="12">
        <v>0</v>
      </c>
      <c r="J29" s="12">
        <v>0</v>
      </c>
      <c r="K29" s="12">
        <v>207</v>
      </c>
      <c r="L29" s="12">
        <f t="shared" si="0"/>
        <v>848</v>
      </c>
    </row>
    <row r="30" spans="1:12" x14ac:dyDescent="0.15">
      <c r="A30" s="12" t="s">
        <v>16</v>
      </c>
      <c r="B30" s="12">
        <v>1</v>
      </c>
      <c r="C30" s="12">
        <v>0</v>
      </c>
      <c r="D30" s="12">
        <v>0</v>
      </c>
      <c r="E30" s="12">
        <v>7</v>
      </c>
      <c r="F30" s="12">
        <v>18</v>
      </c>
      <c r="G30" s="12">
        <v>582</v>
      </c>
      <c r="H30" s="12">
        <v>4</v>
      </c>
      <c r="I30" s="12">
        <v>0</v>
      </c>
      <c r="J30" s="12">
        <v>0</v>
      </c>
      <c r="K30" s="12">
        <v>208</v>
      </c>
      <c r="L30" s="12">
        <f t="shared" si="0"/>
        <v>820</v>
      </c>
    </row>
    <row r="31" spans="1:12" x14ac:dyDescent="0.15">
      <c r="A31" s="12" t="s">
        <v>17</v>
      </c>
      <c r="B31" s="12">
        <v>2</v>
      </c>
      <c r="C31" s="12">
        <v>2</v>
      </c>
      <c r="D31" s="12">
        <v>1</v>
      </c>
      <c r="E31" s="12">
        <v>0</v>
      </c>
      <c r="F31" s="12">
        <v>11</v>
      </c>
      <c r="G31" s="12">
        <v>643</v>
      </c>
      <c r="H31" s="12">
        <v>11</v>
      </c>
      <c r="I31" s="12">
        <v>0</v>
      </c>
      <c r="J31" s="12">
        <v>0</v>
      </c>
      <c r="K31" s="12">
        <v>185</v>
      </c>
      <c r="L31" s="12">
        <f t="shared" si="0"/>
        <v>855</v>
      </c>
    </row>
    <row r="32" spans="1:12" x14ac:dyDescent="0.15">
      <c r="A32" s="12" t="s">
        <v>18</v>
      </c>
      <c r="B32" s="12">
        <v>0</v>
      </c>
      <c r="C32" s="12">
        <v>0</v>
      </c>
      <c r="D32" s="12">
        <v>0</v>
      </c>
      <c r="E32" s="12">
        <v>0</v>
      </c>
      <c r="F32" s="12">
        <v>2</v>
      </c>
      <c r="G32" s="12">
        <v>329</v>
      </c>
      <c r="H32" s="12">
        <v>6</v>
      </c>
      <c r="I32" s="12">
        <v>0</v>
      </c>
      <c r="J32" s="12">
        <v>1</v>
      </c>
      <c r="K32" s="12">
        <v>106</v>
      </c>
      <c r="L32" s="12">
        <f t="shared" si="0"/>
        <v>444</v>
      </c>
    </row>
    <row r="33" spans="1:12" x14ac:dyDescent="0.15">
      <c r="A33" s="12" t="s">
        <v>19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227</v>
      </c>
      <c r="H33" s="12">
        <v>0</v>
      </c>
      <c r="I33" s="12">
        <v>0</v>
      </c>
      <c r="J33" s="12">
        <v>0</v>
      </c>
      <c r="K33" s="12">
        <v>79</v>
      </c>
      <c r="L33" s="12">
        <f t="shared" si="0"/>
        <v>306</v>
      </c>
    </row>
    <row r="34" spans="1:12" x14ac:dyDescent="0.15">
      <c r="A34" s="12" t="s">
        <v>20</v>
      </c>
      <c r="B34" s="12">
        <v>1</v>
      </c>
      <c r="C34" s="12">
        <v>0</v>
      </c>
      <c r="D34" s="12">
        <v>0</v>
      </c>
      <c r="E34" s="12">
        <v>0</v>
      </c>
      <c r="F34" s="12">
        <v>0</v>
      </c>
      <c r="G34" s="12">
        <v>127</v>
      </c>
      <c r="H34" s="12">
        <v>0</v>
      </c>
      <c r="I34" s="12">
        <v>0</v>
      </c>
      <c r="J34" s="12">
        <v>0</v>
      </c>
      <c r="K34" s="12">
        <v>31</v>
      </c>
      <c r="L34" s="12">
        <f t="shared" si="0"/>
        <v>159</v>
      </c>
    </row>
    <row r="35" spans="1:12" x14ac:dyDescent="0.15">
      <c r="A35" s="12" t="s">
        <v>21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196</v>
      </c>
      <c r="H35" s="12">
        <v>0</v>
      </c>
      <c r="I35" s="12">
        <v>0</v>
      </c>
      <c r="J35" s="12">
        <v>0</v>
      </c>
      <c r="K35" s="12">
        <v>83</v>
      </c>
      <c r="L35" s="12">
        <f t="shared" si="0"/>
        <v>279</v>
      </c>
    </row>
    <row r="36" spans="1:12" x14ac:dyDescent="0.15">
      <c r="A36" s="14" t="s">
        <v>182</v>
      </c>
      <c r="B36" s="14">
        <f>SUM(B4:B35)</f>
        <v>343</v>
      </c>
      <c r="C36" s="14">
        <f t="shared" ref="C36:L36" si="1">SUM(C4:C35)</f>
        <v>10</v>
      </c>
      <c r="D36" s="14">
        <f t="shared" si="1"/>
        <v>77</v>
      </c>
      <c r="E36" s="14">
        <f t="shared" si="1"/>
        <v>107</v>
      </c>
      <c r="F36" s="14">
        <f t="shared" si="1"/>
        <v>578</v>
      </c>
      <c r="G36" s="14">
        <f t="shared" si="1"/>
        <v>10074</v>
      </c>
      <c r="H36" s="14">
        <f t="shared" si="1"/>
        <v>56</v>
      </c>
      <c r="I36" s="14">
        <f t="shared" si="1"/>
        <v>0</v>
      </c>
      <c r="J36" s="14">
        <f t="shared" si="1"/>
        <v>1</v>
      </c>
      <c r="K36" s="14">
        <f t="shared" si="1"/>
        <v>4715</v>
      </c>
      <c r="L36" s="14">
        <f t="shared" si="1"/>
        <v>15961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서울시청</dc:creator>
  <cp:lastModifiedBy>USER</cp:lastModifiedBy>
  <cp:lastPrinted>2016-05-25T07:08:55Z</cp:lastPrinted>
  <dcterms:created xsi:type="dcterms:W3CDTF">2016-05-25T00:55:10Z</dcterms:created>
  <dcterms:modified xsi:type="dcterms:W3CDTF">2024-06-28T01:14:36Z</dcterms:modified>
</cp:coreProperties>
</file>